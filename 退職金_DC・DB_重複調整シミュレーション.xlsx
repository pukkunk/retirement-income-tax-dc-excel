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972220A6-E492-45B0-9B8F-908E36561603}" xr6:coauthVersionLast="47" xr6:coauthVersionMax="47" xr10:uidLastSave="{00000000-0000-0000-0000-000000000000}"/>
  <workbookProtection workbookAlgorithmName="SHA-512" workbookHashValue="xDy3cd6TjsApx1SYHegDGF3A84e1AD38me84/BeuVDCiF8QUyic1TygQQScbJfuh4omJj/k1OOWDR6319YaKYw==" workbookSaltValue="nU/5cJljJzN7UnsxmBLLvg==" workbookSpinCount="100000" lockStructure="1"/>
  <bookViews>
    <workbookView xWindow="-120" yWindow="-120" windowWidth="25440" windowHeight="15270" xr2:uid="{00000000-000D-0000-FFFF-FFFF00000000}"/>
  </bookViews>
  <sheets>
    <sheet name="入力" sheetId="1" r:id="rId1"/>
    <sheet name="期間図" sheetId="11" r:id="rId2"/>
    <sheet name="重複調整計算" sheetId="2" r:id="rId3"/>
    <sheet name="受取時期比較" sheetId="3" r:id="rId4"/>
    <sheet name="会社退職金" sheetId="5" r:id="rId5"/>
    <sheet name="説明・参照情報" sheetId="9" r:id="rId6"/>
    <sheet name="税率表" sheetId="10" r:id="rId7"/>
  </sheets>
  <definedNames>
    <definedName name="_xlnm._FilterDatabase" localSheetId="3" hidden="1">受取時期比較!$A$3:$AC$13</definedName>
    <definedName name="_xlnm.Print_Area" localSheetId="4">会社退職金!$A$1:$L$40</definedName>
    <definedName name="_xlnm.Print_Area" localSheetId="1">期間図!$A$1:$BF$70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B4" i="2" s="1"/>
  <c r="C15" i="1"/>
  <c r="C16" i="1"/>
  <c r="A16" i="1"/>
  <c r="A15" i="1"/>
  <c r="A23" i="1"/>
  <c r="A22" i="1"/>
  <c r="A14" i="1"/>
  <c r="A13" i="1"/>
  <c r="A12" i="1"/>
  <c r="A11" i="1"/>
  <c r="B16" i="1"/>
  <c r="B15" i="1"/>
  <c r="D13" i="3"/>
  <c r="G13" i="3" s="1"/>
  <c r="H13" i="3" s="1"/>
  <c r="D12" i="3"/>
  <c r="G12" i="3" s="1"/>
  <c r="H12" i="3" s="1"/>
  <c r="D11" i="3"/>
  <c r="G11" i="3" s="1"/>
  <c r="D10" i="3"/>
  <c r="G10" i="3" s="1"/>
  <c r="D9" i="3"/>
  <c r="G9" i="3" s="1"/>
  <c r="D8" i="3"/>
  <c r="G8" i="3" s="1"/>
  <c r="D7" i="3"/>
  <c r="G7" i="3" s="1"/>
  <c r="D6" i="3"/>
  <c r="G6" i="3" s="1"/>
  <c r="D5" i="3"/>
  <c r="G5" i="3" s="1"/>
  <c r="D4" i="3"/>
  <c r="G4" i="3" s="1"/>
  <c r="J4" i="3" s="1"/>
  <c r="B22" i="1"/>
  <c r="B20" i="1"/>
  <c r="R4" i="3" l="1"/>
  <c r="H4" i="3"/>
  <c r="Q4" i="3"/>
  <c r="H7" i="3"/>
  <c r="H9" i="3"/>
  <c r="N4" i="3"/>
  <c r="H5" i="3"/>
  <c r="H11" i="3"/>
  <c r="M4" i="3"/>
  <c r="H10" i="3"/>
  <c r="H6" i="3"/>
  <c r="H8" i="3"/>
  <c r="K4" i="3"/>
  <c r="O4" i="3" s="1"/>
  <c r="F12" i="1"/>
  <c r="F8" i="1"/>
  <c r="B7" i="5"/>
  <c r="B8" i="5" s="1"/>
  <c r="B10" i="5" s="1"/>
  <c r="E6" i="5"/>
  <c r="F13" i="3"/>
  <c r="J13" i="3" s="1"/>
  <c r="E13" i="3"/>
  <c r="F12" i="3"/>
  <c r="J12" i="3" s="1"/>
  <c r="E12" i="3"/>
  <c r="F11" i="3"/>
  <c r="J11" i="3" s="1"/>
  <c r="E11" i="3"/>
  <c r="F10" i="3"/>
  <c r="J10" i="3" s="1"/>
  <c r="E10" i="3"/>
  <c r="F9" i="3"/>
  <c r="J9" i="3" s="1"/>
  <c r="E9" i="3"/>
  <c r="F8" i="3"/>
  <c r="J8" i="3" s="1"/>
  <c r="E8" i="3"/>
  <c r="F7" i="3"/>
  <c r="J7" i="3" s="1"/>
  <c r="E7" i="3"/>
  <c r="F6" i="3"/>
  <c r="J6" i="3" s="1"/>
  <c r="E6" i="3"/>
  <c r="F5" i="3"/>
  <c r="J5" i="3" s="1"/>
  <c r="E5" i="3"/>
  <c r="F4" i="3"/>
  <c r="E4" i="3"/>
  <c r="B6" i="2"/>
  <c r="B5" i="2"/>
  <c r="B23" i="1"/>
  <c r="B21" i="1"/>
  <c r="K5" i="3" s="1"/>
  <c r="B12" i="2"/>
  <c r="AG4" i="3" l="1"/>
  <c r="M5" i="3"/>
  <c r="K13" i="3"/>
  <c r="M13" i="3" s="1"/>
  <c r="K12" i="3"/>
  <c r="M12" i="3" s="1"/>
  <c r="K11" i="3"/>
  <c r="M11" i="3" s="1"/>
  <c r="K10" i="3"/>
  <c r="M10" i="3" s="1"/>
  <c r="K9" i="3"/>
  <c r="M9" i="3" s="1"/>
  <c r="K8" i="3"/>
  <c r="M8" i="3" s="1"/>
  <c r="K7" i="3"/>
  <c r="M7" i="3" s="1"/>
  <c r="K6" i="3"/>
  <c r="M6" i="3" s="1"/>
  <c r="I9" i="3"/>
  <c r="N9" i="3" s="1"/>
  <c r="B8" i="2"/>
  <c r="B13" i="2"/>
  <c r="B14" i="2" s="1"/>
  <c r="AH9" i="3"/>
  <c r="AI9" i="3" s="1"/>
  <c r="AJ9" i="3" s="1"/>
  <c r="AN9" i="3" s="1"/>
  <c r="AH13" i="3"/>
  <c r="AI13" i="3" s="1"/>
  <c r="AJ13" i="3" s="1"/>
  <c r="AH12" i="3"/>
  <c r="AI12" i="3" s="1"/>
  <c r="AJ12" i="3" s="1"/>
  <c r="AH11" i="3"/>
  <c r="AI11" i="3" s="1"/>
  <c r="AJ11" i="3" s="1"/>
  <c r="AH10" i="3"/>
  <c r="AI10" i="3" s="1"/>
  <c r="AJ10" i="3" s="1"/>
  <c r="AH8" i="3"/>
  <c r="AI8" i="3" s="1"/>
  <c r="AJ8" i="3" s="1"/>
  <c r="AH7" i="3"/>
  <c r="AI7" i="3" s="1"/>
  <c r="AJ7" i="3" s="1"/>
  <c r="AH6" i="3"/>
  <c r="AI6" i="3" s="1"/>
  <c r="AJ6" i="3" s="1"/>
  <c r="AH5" i="3"/>
  <c r="AI5" i="3" s="1"/>
  <c r="AJ5" i="3" s="1"/>
  <c r="AH4" i="3"/>
  <c r="AI4" i="3" s="1"/>
  <c r="AJ4" i="3" s="1"/>
  <c r="I5" i="3"/>
  <c r="N5" i="3" s="1"/>
  <c r="I11" i="3"/>
  <c r="N11" i="3" s="1"/>
  <c r="I4" i="3"/>
  <c r="B14" i="5"/>
  <c r="B12" i="5"/>
  <c r="B11" i="5"/>
  <c r="I7" i="3"/>
  <c r="N7" i="3" s="1"/>
  <c r="I10" i="3"/>
  <c r="N10" i="3" s="1"/>
  <c r="I6" i="3"/>
  <c r="N6" i="3" s="1"/>
  <c r="I8" i="3"/>
  <c r="N8" i="3" s="1"/>
  <c r="I13" i="3"/>
  <c r="N13" i="3" s="1"/>
  <c r="I12" i="3"/>
  <c r="N12" i="3" s="1"/>
  <c r="O13" i="3" l="1"/>
  <c r="O12" i="3"/>
  <c r="O11" i="3"/>
  <c r="O10" i="3"/>
  <c r="O9" i="3"/>
  <c r="O8" i="3"/>
  <c r="O7" i="3"/>
  <c r="O6" i="3"/>
  <c r="O5" i="3"/>
  <c r="AE9" i="3"/>
  <c r="B15" i="2"/>
  <c r="L6" i="3"/>
  <c r="L9" i="3"/>
  <c r="L8" i="3"/>
  <c r="L11" i="3"/>
  <c r="L13" i="3"/>
  <c r="L12" i="3"/>
  <c r="L10" i="3"/>
  <c r="L7" i="3"/>
  <c r="L5" i="3"/>
  <c r="L4" i="3"/>
  <c r="B9" i="2"/>
  <c r="B7" i="2"/>
  <c r="AN6" i="3"/>
  <c r="AL6" i="3"/>
  <c r="AK6" i="3"/>
  <c r="AM6" i="3" s="1"/>
  <c r="AN13" i="3"/>
  <c r="AK13" i="3"/>
  <c r="AL13" i="3"/>
  <c r="AN8" i="3"/>
  <c r="AL8" i="3"/>
  <c r="AK8" i="3"/>
  <c r="AL7" i="3"/>
  <c r="AK7" i="3"/>
  <c r="AM7" i="3" s="1"/>
  <c r="AN7" i="3"/>
  <c r="AN5" i="3"/>
  <c r="AL5" i="3"/>
  <c r="AK5" i="3"/>
  <c r="AM5" i="3" s="1"/>
  <c r="AN4" i="3"/>
  <c r="AL4" i="3"/>
  <c r="AK4" i="3"/>
  <c r="AL10" i="3"/>
  <c r="AK10" i="3"/>
  <c r="AN10" i="3"/>
  <c r="AK12" i="3"/>
  <c r="AL12" i="3"/>
  <c r="AN12" i="3"/>
  <c r="AN11" i="3"/>
  <c r="AK11" i="3"/>
  <c r="AL11" i="3"/>
  <c r="AK9" i="3"/>
  <c r="AL9" i="3"/>
  <c r="B13" i="5"/>
  <c r="B15" i="5" s="1"/>
  <c r="AE6" i="3"/>
  <c r="AE11" i="3"/>
  <c r="AE8" i="3"/>
  <c r="AE13" i="3"/>
  <c r="AE12" i="3"/>
  <c r="AE5" i="3"/>
  <c r="AE10" i="3"/>
  <c r="AE4" i="3"/>
  <c r="AF13" i="3"/>
  <c r="AG13" i="3" s="1"/>
  <c r="AE7" i="3"/>
  <c r="AF5" i="3"/>
  <c r="AG5" i="3" s="1"/>
  <c r="AF7" i="3"/>
  <c r="AG7" i="3" s="1"/>
  <c r="AF10" i="3"/>
  <c r="AG10" i="3" s="1"/>
  <c r="AF6" i="3"/>
  <c r="AG6" i="3" s="1"/>
  <c r="AF9" i="3"/>
  <c r="AG9" i="3" s="1"/>
  <c r="AF11" i="3"/>
  <c r="AG11" i="3" s="1"/>
  <c r="AF8" i="3"/>
  <c r="AG8" i="3" s="1"/>
  <c r="AF12" i="3"/>
  <c r="AG12" i="3" s="1"/>
  <c r="AM4" i="3" l="1"/>
  <c r="AO4" i="3" s="1"/>
  <c r="AP4" i="3" s="1"/>
  <c r="B10" i="2"/>
  <c r="B11" i="2" s="1"/>
  <c r="P4" i="3"/>
  <c r="P6" i="3"/>
  <c r="AM10" i="3"/>
  <c r="AM11" i="3"/>
  <c r="AO11" i="3" s="1"/>
  <c r="AP11" i="3" s="1"/>
  <c r="AM12" i="3"/>
  <c r="AM13" i="3"/>
  <c r="AO13" i="3" s="1"/>
  <c r="AP13" i="3" s="1"/>
  <c r="AM8" i="3"/>
  <c r="AO7" i="3"/>
  <c r="AP7" i="3" s="1"/>
  <c r="AO5" i="3"/>
  <c r="AP5" i="3" s="1"/>
  <c r="AO8" i="3"/>
  <c r="AP8" i="3" s="1"/>
  <c r="AO12" i="3"/>
  <c r="AP12" i="3" s="1"/>
  <c r="AO10" i="3"/>
  <c r="AP10" i="3"/>
  <c r="AO6" i="3"/>
  <c r="AP6" i="3" s="1"/>
  <c r="AM9" i="3"/>
  <c r="AO9" i="3" s="1"/>
  <c r="AP9" i="3" s="1"/>
  <c r="B16" i="5"/>
  <c r="Q6" i="3" l="1"/>
  <c r="S6" i="3" s="1"/>
  <c r="R6" i="3"/>
  <c r="T6" i="3" s="1"/>
  <c r="P13" i="3"/>
  <c r="P12" i="3"/>
  <c r="P11" i="3"/>
  <c r="P10" i="3"/>
  <c r="P9" i="3"/>
  <c r="P8" i="3"/>
  <c r="P7" i="3"/>
  <c r="P5" i="3"/>
  <c r="Q13" i="3" l="1"/>
  <c r="R13" i="3"/>
  <c r="T13" i="3" s="1"/>
  <c r="AB13" i="3" s="1"/>
  <c r="Q12" i="3"/>
  <c r="S12" i="3" s="1"/>
  <c r="AA12" i="3" s="1"/>
  <c r="R12" i="3"/>
  <c r="T12" i="3" s="1"/>
  <c r="X12" i="3" s="1"/>
  <c r="Y12" i="3" s="1"/>
  <c r="Z12" i="3" s="1"/>
  <c r="Q11" i="3"/>
  <c r="S11" i="3" s="1"/>
  <c r="U11" i="3" s="1"/>
  <c r="R11" i="3"/>
  <c r="T11" i="3" s="1"/>
  <c r="AB11" i="3" s="1"/>
  <c r="Q10" i="3"/>
  <c r="S10" i="3" s="1"/>
  <c r="U10" i="3" s="1"/>
  <c r="R10" i="3"/>
  <c r="T10" i="3" s="1"/>
  <c r="AB10" i="3" s="1"/>
  <c r="Q9" i="3"/>
  <c r="S9" i="3" s="1"/>
  <c r="U9" i="3" s="1"/>
  <c r="V9" i="3" s="1"/>
  <c r="W9" i="3" s="1"/>
  <c r="R9" i="3"/>
  <c r="T9" i="3" s="1"/>
  <c r="X9" i="3" s="1"/>
  <c r="Y9" i="3" s="1"/>
  <c r="Z9" i="3" s="1"/>
  <c r="Q8" i="3"/>
  <c r="S8" i="3" s="1"/>
  <c r="U8" i="3" s="1"/>
  <c r="R8" i="3"/>
  <c r="T8" i="3" s="1"/>
  <c r="X8" i="3" s="1"/>
  <c r="Q7" i="3"/>
  <c r="S7" i="3" s="1"/>
  <c r="U7" i="3" s="1"/>
  <c r="R7" i="3"/>
  <c r="T7" i="3" s="1"/>
  <c r="AB7" i="3" s="1"/>
  <c r="Q5" i="3"/>
  <c r="S5" i="3" s="1"/>
  <c r="U5" i="3" s="1"/>
  <c r="R5" i="3"/>
  <c r="T5" i="3" s="1"/>
  <c r="X5" i="3" s="1"/>
  <c r="S13" i="3"/>
  <c r="AA13" i="3" s="1"/>
  <c r="X6" i="3"/>
  <c r="AB6" i="3"/>
  <c r="U6" i="3"/>
  <c r="AA6" i="3"/>
  <c r="AF4" i="3"/>
  <c r="U13" i="3" l="1"/>
  <c r="U12" i="3"/>
  <c r="V12" i="3" s="1"/>
  <c r="W12" i="3" s="1"/>
  <c r="X13" i="3"/>
  <c r="Y13" i="3" s="1"/>
  <c r="Z13" i="3" s="1"/>
  <c r="AB12" i="3"/>
  <c r="AA7" i="3"/>
  <c r="AA11" i="3"/>
  <c r="AA10" i="3"/>
  <c r="X11" i="3"/>
  <c r="Y11" i="3" s="1"/>
  <c r="Z11" i="3" s="1"/>
  <c r="AA9" i="3"/>
  <c r="X10" i="3"/>
  <c r="Y10" i="3" s="1"/>
  <c r="Z10" i="3" s="1"/>
  <c r="AB8" i="3"/>
  <c r="AB9" i="3"/>
  <c r="AC9" i="3" s="1"/>
  <c r="AD9" i="3" s="1"/>
  <c r="AQ9" i="3" s="1"/>
  <c r="AA8" i="3"/>
  <c r="X7" i="3"/>
  <c r="Y7" i="3" s="1"/>
  <c r="Z7" i="3" s="1"/>
  <c r="AB5" i="3"/>
  <c r="AA5" i="3"/>
  <c r="V11" i="3"/>
  <c r="W11" i="3" s="1"/>
  <c r="V10" i="3"/>
  <c r="W10" i="3" s="1"/>
  <c r="Y8" i="3"/>
  <c r="Z8" i="3" s="1"/>
  <c r="Y6" i="3"/>
  <c r="Z6" i="3" s="1"/>
  <c r="Y5" i="3"/>
  <c r="Z5" i="3" s="1"/>
  <c r="V5" i="3"/>
  <c r="W5" i="3" s="1"/>
  <c r="V6" i="3"/>
  <c r="W6" i="3" s="1"/>
  <c r="V7" i="3"/>
  <c r="W7" i="3" s="1"/>
  <c r="V13" i="3"/>
  <c r="W13" i="3" s="1"/>
  <c r="V8" i="3"/>
  <c r="W8" i="3" s="1"/>
  <c r="AC12" i="3" l="1"/>
  <c r="AD12" i="3" s="1"/>
  <c r="AQ12" i="3" s="1"/>
  <c r="AC11" i="3"/>
  <c r="AD11" i="3" s="1"/>
  <c r="AQ11" i="3" s="1"/>
  <c r="AC13" i="3"/>
  <c r="AD13" i="3" s="1"/>
  <c r="AQ13" i="3" s="1"/>
  <c r="AC10" i="3"/>
  <c r="AD10" i="3" s="1"/>
  <c r="AQ10" i="3" s="1"/>
  <c r="AC8" i="3"/>
  <c r="AD8" i="3" s="1"/>
  <c r="AQ8" i="3" s="1"/>
  <c r="AC6" i="3"/>
  <c r="AD6" i="3" s="1"/>
  <c r="AQ6" i="3" s="1"/>
  <c r="AC7" i="3"/>
  <c r="AD7" i="3" s="1"/>
  <c r="AQ7" i="3" s="1"/>
  <c r="AC5" i="3"/>
  <c r="AD5" i="3" s="1"/>
  <c r="AQ5" i="3" s="1"/>
  <c r="S4" i="3"/>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<sst xmlns="http://schemas.openxmlformats.org/spreadsheetml/2006/main" count="329" uniqueCount="279">
  <si>
    <t>入力項目</t>
  </si>
  <si>
    <t>入力値</t>
  </si>
  <si>
    <t>単位・説明</t>
  </si>
  <si>
    <t>会社退職金の勤続開始日</t>
  </si>
  <si>
    <t>日付。実際の退職金規程に合わせて変更</t>
  </si>
  <si>
    <t>会社退職金の退職日</t>
  </si>
  <si>
    <t>会社退職金の受取日</t>
  </si>
  <si>
    <t>日付</t>
  </si>
  <si>
    <t>会社退職金額</t>
  </si>
  <si>
    <t>円</t>
  </si>
  <si>
    <t>制度資料で確認した期間を入力</t>
  </si>
  <si>
    <t>日付。比較シートで変更可能</t>
  </si>
  <si>
    <t>円。仮入力。実際の残高に変更</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</si>
  <si>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</si>
  <si>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</si>
  <si>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</si>
  <si>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</si>
  <si>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</si>
  <si>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</si>
  <si>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</si>
  <si>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</si>
  <si>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</si>
  <si>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</si>
  <si>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重複調整前</t>
  </si>
  <si>
    <t>重複調整の確認期間</t>
  </si>
  <si>
    <t>比較シートとの関係</t>
  </si>
  <si>
    <t>注意</t>
  </si>
  <si>
    <t>設計上の注意</t>
  </si>
  <si>
    <t>制度の考え方・このシミュレーションの目的</t>
  </si>
  <si>
    <t>退職所得控除を2回受けられる可能性</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</si>
  <si>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</si>
  <si>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</si>
  <si>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</si>
  <si>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「利益が増える」の意味</t>
  </si>
  <si>
    <t>このExcelで確認すること</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</si>
  <si>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</si>
  <si>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</si>
  <si>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</si>
  <si>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</si>
  <si>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</si>
  <si>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</si>
  <si>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</si>
  <si>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</si>
  <si>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</si>
  <si>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</si>
  <si>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</si>
  <si>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</si>
  <si>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</si>
  <si>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</si>
  <si>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</si>
  <si>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</si>
  <si>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</si>
  <si>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</si>
  <si>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</si>
  <si>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</si>
  <si>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</si>
  <si>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</si>
  <si>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</si>
  <si>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</si>
  <si>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</si>
  <si>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</si>
  <si>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</si>
  <si>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</si>
  <si>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</si>
  <si>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</si>
  <si>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</si>
  <si>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</si>
  <si>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</si>
  <si>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</si>
  <si>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</si>
  <si>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</si>
  <si>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</si>
  <si>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</si>
  <si>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</si>
  <si>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</si>
  <si>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</si>
  <si>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</si>
  <si>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</si>
  <si>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</si>
  <si>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</si>
  <si>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</si>
  <si>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</si>
  <si>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</si>
  <si>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</si>
  <si>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</si>
  <si>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</si>
  <si>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</si>
  <si>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</si>
  <si>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</si>
  <si>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</si>
  <si>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</si>
  <si>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</si>
  <si>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</si>
  <si>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</si>
  <si>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</si>
  <si>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</si>
  <si>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</si>
  <si>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</si>
  <si>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</si>
  <si>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</si>
  <si>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</si>
  <si>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</si>
  <si>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</si>
  <si>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</si>
  <si>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</si>
  <si>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</si>
  <si>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</si>
  <si>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</si>
  <si>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</si>
  <si>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</si>
  <si>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</si>
  <si>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</si>
  <si>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</si>
  <si>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</si>
  <si>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</si>
  <si>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</si>
  <si>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</si>
  <si>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</si>
  <si>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</si>
  <si>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</si>
  <si>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</si>
  <si>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</si>
  <si>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</si>
  <si>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</si>
  <si>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</si>
  <si>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</si>
  <si>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</si>
  <si>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</si>
  <si>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</si>
  <si>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</si>
  <si>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</si>
  <si>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</si>
  <si>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</si>
  <si>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</si>
  <si>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</si>
  <si>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</si>
  <si>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</si>
  <si>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</si>
  <si>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</si>
  <si>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</si>
  <si>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</si>
  <si>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</si>
  <si>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</si>
  <si>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</si>
  <si>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</si>
  <si>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</si>
  <si>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</si>
  <si>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</si>
  <si>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</si>
  <si>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</si>
  <si>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</si>
  <si>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</si>
  <si>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</si>
  <si>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</si>
  <si>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</si>
  <si>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</si>
  <si>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</si>
  <si>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</si>
  <si>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</si>
  <si>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</si>
  <si>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</si>
  <si>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</si>
  <si>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</si>
  <si>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</si>
  <si>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</si>
  <si>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</si>
  <si>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</si>
  <si>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</si>
  <si>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</si>
  <si>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</si>
  <si>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</si>
  <si>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</si>
  <si>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</si>
  <si>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</si>
  <si>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</si>
  <si>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</si>
  <si>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</si>
  <si>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</si>
  <si>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</si>
  <si>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</si>
  <si>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</si>
  <si>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</si>
  <si>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</si>
  <si>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</si>
  <si>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</si>
  <si>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</si>
  <si>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</si>
  <si>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</si>
  <si>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</si>
  <si>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</si>
  <si>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</si>
  <si>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</si>
  <si>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</si>
  <si>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</si>
  <si>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</si>
  <si>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</si>
  <si>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</si>
  <si>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</si>
  <si>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</si>
  <si>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</si>
  <si>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</si>
  <si>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</si>
  <si>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</si>
  <si>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</si>
  <si>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前の退職手当等が控除額未満</t>
    <phoneticPr fontId="1"/>
  </si>
  <si>
    <t>会社所得税控除額</t>
    <phoneticPr fontId="1"/>
  </si>
  <si>
    <t>DC所得税控除額</t>
    <phoneticPr fontId="1"/>
  </si>
  <si>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</si>
  <si>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</si>
  <si>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</si>
  <si>
    <t>対象制度</t>
    <phoneticPr fontId="1"/>
  </si>
  <si>
    <t>DC=確定拠出年金(企業型DC,iDeCo)  or DB=DB確定給付企業年金</t>
    <rPh sb="3" eb="9">
      <t>カクテイキョシュツネンキン</t>
    </rPh>
    <rPh sb="10" eb="12">
      <t>キギョウ</t>
    </rPh>
    <rPh sb="12" eb="13">
      <t>カタ</t>
    </rPh>
    <phoneticPr fontId="1"/>
  </si>
  <si>
    <t>DC</t>
  </si>
  <si>
    <t>通常の退職金＋DC・DB一時金：重複調整シミュレーション</t>
    <phoneticPr fontId="1"/>
  </si>
  <si>
    <t>対象制度や受取時期によって適用される規定が異なります。実際の加入期間・勤続期間、給付内容、過去の退職手当等を確認してご利用ください。</t>
  </si>
  <si>
    <t>本Excelは、会社退職金と、確定拠出年金（企業型DC・iDeCo）[以降DCと表記]または確定給付企業年金（DB）の一時金について、受取時期や受取順序による退職所得控除の重複調整を試算するためのものです。</t>
    <rPh sb="35" eb="37">
      <t>イコウ</t>
    </rPh>
    <rPh sb="40" eb="42">
      <t>ヒョウキ</t>
    </rPh>
    <phoneticPr fontId="1"/>
  </si>
  <si>
    <t>「受取時期比較」は入力B10の値を増やす入力欄ではなく、複数の受取時期を並べて比較する別計算です。入力B10は今回の1ケース用。</t>
    <phoneticPr fontId="1"/>
  </si>
  <si>
    <t>通常の退職金とDC/DB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phoneticPr fontId="1"/>
  </si>
  <si>
    <t>B12・B13は重複期間そのものではなく、法令上の確認対象となり得る期間を示す参考値です。実際の重複期間は、退職金・DC/DBの加入期間、受取日、制度移行・資産移換、過去の退職手当等を確認して計算する必要があります。</t>
    <phoneticPr fontId="1"/>
  </si>
  <si>
    <t>通常の退職金とDC/DBは、受取時期や制度上の要件によって、それぞれ退職所得控除の計算対象となり得ます。ただし、過去に受け取った退職手当等との勤続期間の重複がある場合は、控除額の重複を避けるための調整が行われます。</t>
    <phoneticPr fontId="1"/>
  </si>
  <si>
    <t>退職金とDC/DB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phoneticPr fontId="1"/>
  </si>
  <si>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phoneticPr fontId="1"/>
  </si>
  <si>
    <t>会社退職金とDC/DB一時金の受取順序・受取時期を比較し、重複調整の影響を検討するための材料を整理します。現状の重複期間欄は確認用の簡易値であり、申告税額を確定するものではありません。</t>
    <phoneticPr fontId="1"/>
  </si>
  <si>
    <t>DC→会社退職金は9年、会社退職金→DCは19年。
DB→会社退職金は4年、会社退職金→DBは4年。</t>
    <phoneticPr fontId="1"/>
  </si>
  <si>
    <t>会社退職金とDC・DB一時金は、それぞれ退職所得控除の対象となり得ますが、重複期間がある場合は控除額の調整が必要です。</t>
    <phoneticPr fontId="1"/>
  </si>
  <si>
    <t>退職所得控除の調整規定</t>
    <phoneticPr fontId="12"/>
  </si>
  <si>
    <t>■DC（企業型DC・iDeCo）の老齢一時金は税法上「退職手当等」に該当し、退職所得控除が適用される</t>
    <phoneticPr fontId="12"/>
  </si>
  <si>
    <t>■退職手当等の支払を複数受ける場合は、後に支払を受ける退職手当等の退職所得控除を算出するに当たって、過去に支払を受けた</t>
  </si>
  <si>
    <t>　退職手当等と重複する期間の年数に基づく退職所得控除額を控除する仕組みとなっている。</t>
  </si>
  <si>
    <t>退職一時金（DCの老齢一時金を除く）</t>
  </si>
  <si>
    <r>
      <t>前年以前</t>
    </r>
    <r>
      <rPr>
        <b/>
        <u/>
        <sz val="11"/>
        <color theme="1"/>
        <rFont val="游ゴシック"/>
        <family val="3"/>
        <charset val="128"/>
        <scheme val="minor"/>
      </rPr>
      <t>９年内</t>
    </r>
    <r>
      <rPr>
        <sz val="11"/>
        <color theme="1"/>
        <rFont val="游ゴシック"/>
        <family val="2"/>
        <charset val="128"/>
        <scheme val="minor"/>
      </rPr>
      <t>に他の支払者から支払われた退職手当等との重複期間に基づく</t>
    </r>
    <phoneticPr fontId="12"/>
  </si>
  <si>
    <t>の退職所得控除額</t>
  </si>
  <si>
    <t>額を控除した残額</t>
  </si>
  <si>
    <t>DCの老齢一時金の退職所得控除額</t>
  </si>
  <si>
    <r>
      <t>前年以前</t>
    </r>
    <r>
      <rPr>
        <b/>
        <u/>
        <sz val="11"/>
        <color theme="1"/>
        <rFont val="游ゴシック"/>
        <family val="3"/>
        <charset val="128"/>
        <scheme val="minor"/>
      </rPr>
      <t>19年内</t>
    </r>
    <r>
      <rPr>
        <sz val="11"/>
        <color theme="1"/>
        <rFont val="游ゴシック"/>
        <family val="2"/>
        <charset val="128"/>
        <scheme val="minor"/>
      </rPr>
      <t>に他の支払者から支払われた退職手当等との重複期間</t>
    </r>
    <phoneticPr fontId="12"/>
  </si>
  <si>
    <t>に基づく額を控除した残額</t>
  </si>
  <si>
    <t>　https://www.nta.go.jp/taxes/shiraberu/taxanswer/gensen/2732.htm</t>
    <phoneticPr fontId="12"/>
  </si>
  <si>
    <t>退職金・DC/iDeCo「重複期間」図解</t>
    <phoneticPr fontId="12"/>
  </si>
  <si>
    <t>年齢の列を横軸として、会社の勤続期間・DC/iDeCo加入期間・その共通部分を色分けしています。</t>
  </si>
  <si>
    <t>会社：青</t>
  </si>
  <si>
    <t>DC/iDeCo：橙</t>
  </si>
  <si>
    <t>重複：黄</t>
  </si>
  <si>
    <t>年齢</t>
  </si>
  <si>
    <t>ケースA：DC/iDeCo → 退職金</t>
    <phoneticPr fontId="12"/>
  </si>
  <si>
    <t>退職金 65歳</t>
  </si>
  <si>
    <t>会社の勤続期間</t>
  </si>
  <si>
    <t>DC/iDeCo加入期間</t>
  </si>
  <si>
    <t>重複期間</t>
  </si>
  <si>
    <t>受給時点</t>
  </si>
  <si>
    <t xml:space="preserve">DC/iDeCo 60歳 </t>
  </si>
  <si>
    <t>前年以前9年内</t>
    <phoneticPr fontId="12"/>
  </si>
  <si>
    <t>重複期間：30歳～60歳 ＝ 30年間</t>
  </si>
  <si>
    <t>黄色の部分が、会社の勤続期間とDC/iDeCo加入期間の両方に含まれる範囲です。</t>
  </si>
  <si>
    <t>ケースB：退職金 → DC/iDeCo</t>
  </si>
  <si>
    <t>退職金 60歳</t>
    <phoneticPr fontId="12"/>
  </si>
  <si>
    <t xml:space="preserve">DC/iDeCo 65歳 </t>
    <phoneticPr fontId="12"/>
  </si>
  <si>
    <t>前年以前19年内</t>
    <phoneticPr fontId="12"/>
  </si>
  <si>
    <t>■DB(確定給付企業年金 / Defined Benefit Plan)の場合</t>
    <rPh sb="0" eb="39">
      <t>バアイ</t>
    </rPh>
    <phoneticPr fontId="12"/>
  </si>
  <si>
    <t>退職一時金（DCの老齢一時金を除く）</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</si>
  <si>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に他の支払者から支払われた退職手当等との重複期間に基づく</t>
    </r>
    <phoneticPr fontId="12"/>
  </si>
  <si>
    <t>DBの一時金の退職所得控除額</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</si>
  <si>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に他の支払者から支払われた退職手当等（DCの老齢一時金を除く）</t>
    </r>
    <phoneticPr fontId="12"/>
  </si>
  <si>
    <t>との重複期間に基づく額を控除した残額</t>
    <phoneticPr fontId="12"/>
  </si>
  <si>
    <t>退職金・DB「重複期間」図解</t>
    <phoneticPr fontId="12"/>
  </si>
  <si>
    <t>ケースC：DB → 退職金</t>
    <phoneticPr fontId="12"/>
  </si>
  <si>
    <t>DB加入期間</t>
    <phoneticPr fontId="12"/>
  </si>
  <si>
    <t xml:space="preserve">DB 60歳 </t>
    <phoneticPr fontId="12"/>
  </si>
  <si>
    <t>前年以前4年内</t>
    <phoneticPr fontId="12"/>
  </si>
  <si>
    <t>黄色の部分が、会社の勤続期間とDB加入期間の両方に含まれる範囲です。</t>
    <phoneticPr fontId="12"/>
  </si>
  <si>
    <r>
      <t>緑色の部分が重複の調整範囲外のため、</t>
    </r>
    <r>
      <rPr>
        <b/>
        <sz val="11"/>
        <color theme="1"/>
        <rFont val="游ゴシック"/>
        <family val="3"/>
        <charset val="128"/>
        <scheme val="minor"/>
      </rPr>
      <t>重複調整なし。</t>
    </r>
    <rPh sb="0" eb="2">
      <t>ミドリイロ</t>
    </rPh>
    <rPh sb="3" eb="5">
      <t>ブブン</t>
    </rPh>
    <rPh sb="6" eb="8">
      <t>チョウフク</t>
    </rPh>
    <rPh sb="9" eb="11">
      <t>チョウセイ</t>
    </rPh>
    <rPh sb="11" eb="13">
      <t>ハンイ</t>
    </rPh>
    <rPh sb="13" eb="14">
      <t>ガイ</t>
    </rPh>
    <rPh sb="18" eb="20">
      <t>チョウフク</t>
    </rPh>
    <rPh sb="20" eb="22">
      <t>チョウセイ</t>
    </rPh>
    <phoneticPr fontId="12"/>
  </si>
  <si>
    <t>ケースD：退職金 → DB</t>
    <phoneticPr fontId="12"/>
  </si>
  <si>
    <t xml:space="preserve">DB 65歳 </t>
    <phoneticPr fontId="12"/>
  </si>
  <si>
    <t>重複期間：30歳～65歳 ＝ 35年間</t>
  </si>
  <si>
    <t>大切な注意</t>
  </si>
  <si>
    <t>図中の重複期間は、指定された年齢範囲を比較した概念上の期間です。税務上の退職所得控除の調整年数と必ず一致するわけではありません。実際の調整は、受給年・受給順・退職手当等の種類・法令上の対象期間などを確認して行います。</t>
  </si>
  <si>
    <t>年数の数え方</t>
  </si>
  <si>
    <t>この図では「30歳～60歳」を30年間、「30歳～65歳」を35年間とする、年齢差（終了年齢－開始年齢）で表示しています。税務上の勤続年数・加入年数の端数処理とは別です。</t>
  </si>
  <si>
    <t>日付。60歳、65歳退職予定日等に変更</t>
    <rPh sb="5" eb="6">
      <t>サイ</t>
    </rPh>
    <phoneticPr fontId="1"/>
  </si>
  <si>
    <t>DB・DCの受取日を変更した場合の受取順序と退職所得控除の調整対象期間（DB：4年／4年、DC：9年／19年）、および手取り差を比較するための参考表です。ここで設定する受取日は、入力シートの受取日とは別のもの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</si>
</sst>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20"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
      <sz val="11"/>
      <color theme="1"/>
      <name val="游ゴシック"/>
      <family val="2"/>
      <scheme val="minor"/>
    </font>
    <font>
      <sz val="6"/>
      <name val="游ゴシック"/>
      <family val="3"/>
      <charset val="128"/>
      <scheme val="minor"/>
    </font>
    <font>
      <b/>
      <u/>
      <sz val="11"/>
      <color theme="1"/>
      <name val="游ゴシック"/>
      <family val="3"/>
      <charset val="128"/>
      <scheme val="minor"/>
    </font>
    <font>
      <b/>
      <sz val="17"/>
      <name val="ＭＳ Ｐゴシック"/>
      <family val="3"/>
      <charset val="128"/>
    </font>
    <font>
      <b/>
      <sz val="11"/>
      <name val="ＭＳ Ｐゴシック"/>
      <family val="3"/>
      <charset val="128"/>
    </font>
    <font>
      <sz val="8"/>
      <name val="ＭＳ Ｐゴシック"/>
      <family val="3"/>
      <charset val="128"/>
    </font>
    <font>
      <b/>
      <sz val="12"/>
      <name val="ＭＳ Ｐゴシック"/>
      <family val="3"/>
      <charset val="128"/>
    </font>
    <font>
      <b/>
      <sz val="11"/>
      <color theme="9" tint="-0.249977111117893"/>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
      <patternFill patternType="solid">
        <fgColor rgb="FF00B0F0"/>
        <bgColor indexed="64"/>
      </patternFill>
    </fill>
    <fill>
      <patternFill patternType="solid">
        <fgColor rgb="FFF28E2B"/>
      </patternFill>
    </fill>
    <fill>
      <patternFill patternType="solid">
        <fgColor rgb="FFFFD966"/>
      </patternFill>
    </fill>
    <fill>
      <patternFill patternType="solid">
        <fgColor rgb="FF00B05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n">
        <color rgb="FFB7B7B7"/>
      </bottom>
      <diagonal/>
    </border>
    <border>
      <left/>
      <right/>
      <top style="thin">
        <color rgb="FFB7B7B7"/>
      </top>
      <bottom style="thin">
        <color rgb="FFB7B7B7"/>
      </bottom>
      <diagonal/>
    </border>
  </borders>
  <cellStyleXfs count="3">
    <xf numFmtId="0" fontId="0" fillId="0" borderId="0">
      <alignment vertical="center"/>
    </xf>
    <xf numFmtId="0" fontId="2" fillId="0" borderId="0">
      <alignment vertical="center"/>
    </xf>
    <xf numFmtId="0" fontId="11" fillId="0" borderId="0"/>
  </cellStyleXfs>
  <cellXfs count="104">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11" fillId="0" borderId="0" xfId="2"/>
    <xf numFmtId="0" fontId="11" fillId="0" borderId="6" xfId="2" applyBorder="1"/>
    <xf numFmtId="0" fontId="11" fillId="0" borderId="7" xfId="2" applyBorder="1"/>
    <xf numFmtId="0" fontId="11" fillId="0" borderId="8" xfId="2" applyBorder="1"/>
    <xf numFmtId="0" fontId="11" fillId="0" borderId="9" xfId="2" applyBorder="1"/>
    <xf numFmtId="0" fontId="11" fillId="0" borderId="10" xfId="2" applyBorder="1"/>
    <xf numFmtId="0" fontId="11" fillId="0" borderId="11" xfId="2" applyBorder="1"/>
    <xf numFmtId="0" fontId="11" fillId="0" borderId="12" xfId="2" applyBorder="1"/>
    <xf numFmtId="0" fontId="11" fillId="8" borderId="12" xfId="2" applyFill="1" applyBorder="1"/>
    <xf numFmtId="0" fontId="11" fillId="9" borderId="13" xfId="2" applyFill="1" applyBorder="1"/>
    <xf numFmtId="0" fontId="11" fillId="10" borderId="13" xfId="2" applyFill="1" applyBorder="1"/>
    <xf numFmtId="0" fontId="15" fillId="0" borderId="4" xfId="2" applyFont="1" applyBorder="1"/>
    <xf numFmtId="0" fontId="16" fillId="0" borderId="4" xfId="2" applyFont="1" applyBorder="1" applyAlignment="1">
      <alignment horizontal="center"/>
    </xf>
    <xf numFmtId="0" fontId="16" fillId="0" borderId="0" xfId="2" applyFont="1" applyAlignment="1">
      <alignment horizontal="center"/>
    </xf>
    <xf numFmtId="0" fontId="17" fillId="0" borderId="0" xfId="2" applyFont="1"/>
    <xf numFmtId="0" fontId="10" fillId="0" borderId="0" xfId="2" applyFont="1" applyAlignment="1">
      <alignment horizontal="right"/>
    </xf>
    <xf numFmtId="0" fontId="11" fillId="0" borderId="4" xfId="2" applyBorder="1"/>
    <xf numFmtId="0" fontId="11" fillId="8" borderId="4" xfId="2" applyFill="1" applyBorder="1"/>
    <xf numFmtId="0" fontId="11" fillId="9" borderId="4" xfId="2" applyFill="1" applyBorder="1"/>
    <xf numFmtId="0" fontId="11" fillId="10" borderId="4" xfId="2" applyFill="1" applyBorder="1"/>
    <xf numFmtId="0" fontId="18" fillId="0" borderId="0" xfId="2" applyFont="1" applyAlignment="1">
      <alignment horizontal="right"/>
    </xf>
    <xf numFmtId="0" fontId="11" fillId="11" borderId="4" xfId="2" applyFill="1" applyBorder="1"/>
    <xf numFmtId="0" fontId="19" fillId="0" borderId="0" xfId="2" applyFont="1" applyAlignment="1">
      <alignment horizontal="left"/>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11" fillId="0" borderId="0" xfId="2" applyAlignment="1">
      <alignment wrapText="1"/>
    </xf>
    <xf numFmtId="0" fontId="11" fillId="0" borderId="0" xfId="2"/>
    <xf numFmtId="0" fontId="15" fillId="0" borderId="0" xfId="2" applyFont="1"/>
    <xf numFmtId="0" fontId="11" fillId="0" borderId="0" xfId="2" applyAlignment="1">
      <alignment vertical="top" wrapText="1"/>
    </xf>
    <xf numFmtId="0" fontId="14" fillId="2" borderId="0" xfId="2" applyFont="1" applyFill="1"/>
    <xf numFmtId="0" fontId="11" fillId="2" borderId="0" xfId="2" applyFill="1"/>
    <xf numFmtId="0" fontId="11" fillId="2" borderId="0" xfId="2" applyFill="1" applyAlignment="1">
      <alignment wrapText="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applyProtection="1">
      <alignment horizontal="center"/>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cellXfs>
  <cellStyles count="3">
    <cellStyle name="ハイパーリンク" xfId="1" builtinId="8"/>
    <cellStyle name="標準" xfId="0" builtinId="0"/>
    <cellStyle name="標準 2" xfId="2" xr:uid="{32AC61CE-BE69-4D48-8FBD-690D7973CA5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474"/>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475"/>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476"/>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soumu.go.jp/main_sosiki/jichi_zeisei/czaisei/65871.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6" sqref="B6"/>
    </sheetView>
  </sheetViews>
  <sheetFormatPr defaultRowHeight="18.75" x14ac:dyDescent="0.4"/>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x14ac:dyDescent="0.4">
      <c r="A1" s="85" t="s">
        <v>213</v>
      </c>
      <c r="B1" s="85"/>
      <c r="C1" s="85"/>
    </row>
    <row r="2" spans="1:6" x14ac:dyDescent="0.4">
      <c r="A2" s="10" t="s">
        <v>215</v>
      </c>
    </row>
    <row r="3" spans="1:6" x14ac:dyDescent="0.4">
      <c r="A3" s="10" t="s">
        <v>214</v>
      </c>
    </row>
    <row r="5" spans="1:6" x14ac:dyDescent="0.4">
      <c r="A5" s="12" t="s">
        <v>0</v>
      </c>
      <c r="B5" s="12" t="s">
        <v>1</v>
      </c>
      <c r="C5" s="12" t="s">
        <v>2</v>
      </c>
    </row>
    <row r="6" spans="1:6" x14ac:dyDescent="0.4">
      <c r="A6" s="10" t="s">
        <v>210</v>
      </c>
      <c r="B6" s="8" t="s">
        <v>212</v>
      </c>
      <c r="C6" s="11" t="s">
        <v>211</v>
      </c>
    </row>
    <row r="7" spans="1:6" ht="18.75" customHeight="1" x14ac:dyDescent="0.4">
      <c r="A7" s="13" t="s">
        <v>3</v>
      </c>
      <c r="B7" s="7">
        <v>33329</v>
      </c>
      <c r="C7" s="13" t="s">
        <v>4</v>
      </c>
      <c r="E7" s="11" t="s">
        <v>189</v>
      </c>
      <c r="F7" s="6">
        <v>25689</v>
      </c>
    </row>
    <row r="8" spans="1:6" ht="18.75" customHeight="1" x14ac:dyDescent="0.4">
      <c r="A8" s="13" t="s">
        <v>5</v>
      </c>
      <c r="B8" s="7">
        <v>47634</v>
      </c>
      <c r="C8" s="13" t="s">
        <v>277</v>
      </c>
      <c r="E8" s="14" t="s">
        <v>130</v>
      </c>
      <c r="F8" s="15" t="str">
        <f>DATEDIF($F$7, B8, "Y") &amp; "歳" &amp; DATEDIF($F$7, B8, "YM") &amp; "ヶ月"</f>
        <v>60歳0ヶ月</v>
      </c>
    </row>
    <row r="9" spans="1:6" ht="18.75" customHeight="1" x14ac:dyDescent="0.4">
      <c r="A9" s="13" t="s">
        <v>6</v>
      </c>
      <c r="B9" s="7">
        <v>47634</v>
      </c>
      <c r="C9" s="13" t="s">
        <v>7</v>
      </c>
    </row>
    <row r="10" spans="1:6" ht="18.75" customHeight="1" x14ac:dyDescent="0.4">
      <c r="A10" s="13" t="s">
        <v>8</v>
      </c>
      <c r="B10" s="8">
        <v>1000000</v>
      </c>
      <c r="C10" s="13" t="s">
        <v>9</v>
      </c>
    </row>
    <row r="11" spans="1:6" ht="18.75" customHeight="1" x14ac:dyDescent="0.4">
      <c r="A11" s="13" t="str">
        <f>$B$6&amp;"の控除計算用加入開始日"</f>
        <v>DCの控除計算用加入開始日</v>
      </c>
      <c r="B11" s="7">
        <v>36982</v>
      </c>
      <c r="C11" s="13" t="s">
        <v>10</v>
      </c>
    </row>
    <row r="12" spans="1:6" ht="18.75" customHeight="1" x14ac:dyDescent="0.4">
      <c r="A12" s="13" t="str">
        <f>$B$6&amp;"の控除計算用加入終了日"</f>
        <v>DCの控除計算用加入終了日</v>
      </c>
      <c r="B12" s="7">
        <v>49460</v>
      </c>
      <c r="C12" s="13" t="s">
        <v>10</v>
      </c>
      <c r="E12" s="11" t="s">
        <v>190</v>
      </c>
      <c r="F12" s="11" t="str">
        <f>DATEDIF($F$7, B12, "Y") &amp; "歳" &amp; DATEDIF($F$7, B12, "YM") &amp; "ヶ月"</f>
        <v>65歳0ヶ月</v>
      </c>
    </row>
    <row r="13" spans="1:6" ht="18.75" customHeight="1" x14ac:dyDescent="0.4">
      <c r="A13" s="13" t="str">
        <f>$B$6&amp;"一時金の受取日"</f>
        <v>DC一時金の受取日</v>
      </c>
      <c r="B13" s="7">
        <v>49460</v>
      </c>
      <c r="C13" s="13" t="s">
        <v>11</v>
      </c>
    </row>
    <row r="14" spans="1:6" ht="18.75" customHeight="1" x14ac:dyDescent="0.4">
      <c r="A14" s="13" t="str">
        <f>$B$6&amp;"一時金額"</f>
        <v>DC一時金額</v>
      </c>
      <c r="B14" s="8">
        <v>25000000</v>
      </c>
      <c r="C14" s="13" t="s">
        <v>12</v>
      </c>
    </row>
    <row r="15" spans="1:6" x14ac:dyDescent="0.4">
      <c r="A15" s="10" t="str">
        <f>B6&amp;"→会社退職金の調整対象期間"</f>
        <v>DC→会社退職金の調整対象期間</v>
      </c>
      <c r="B15" s="16">
        <f>IF(B6="DC",9,4)</f>
        <v>9</v>
      </c>
      <c r="C15" s="10" t="str">
        <f>IF($B$6="DC","DC一時金を先に受け取る場合、2026年1月1日以後に支払を受けたDC一時金について、国税庁の定める条件に該当する前年以前9年内の退職手当等が調整対象となります。","DB一時金を先に受け取り、会社退職金を後で受け取る場合は4年の取扱い。")</f>
        <v>DC一時金を先に受け取る場合、2026年1月1日以後に支払を受けたDC一時金について、国税庁の定める条件に該当する前年以前9年内の退職手当等が調整対象となります。</v>
      </c>
    </row>
    <row r="16" spans="1:6" x14ac:dyDescent="0.4">
      <c r="A16" s="13" t="str">
        <f>"会社退職金→"&amp;B6&amp;"の調整対象期間"</f>
        <v>会社退職金→DCの調整対象期間</v>
      </c>
      <c r="B16" s="16">
        <f>IF(B6="DC",19,4)</f>
        <v>19</v>
      </c>
      <c r="C16" s="10" t="str">
        <f>IF($B$6="DC","会社退職金を先に受け取り、DC一時金を後で受け取る場合は19年の取扱い。","会社退職金を先に受け取り、DB一時金を後で受け取る場合は4年の取扱い。")</f>
        <v>会社退職金を先に受け取り、DC一時金を後で受け取る場合は19年の取扱い。</v>
      </c>
    </row>
    <row r="17" spans="1:4" ht="18.75" customHeight="1" x14ac:dyDescent="0.4">
      <c r="A17" s="10" t="s">
        <v>13</v>
      </c>
    </row>
    <row r="18" spans="1:4" ht="18.75" customHeight="1" x14ac:dyDescent="0.4">
      <c r="A18" s="10" t="s">
        <v>14</v>
      </c>
      <c r="B18" s="16" t="str">
        <f>IF(OR(B9="",B13=""),"",IF(B13&lt;B9,B6&amp;" → 会社退職金",IF(B13&gt;B9,"会社退職金 → "&amp;B6,"同日受取：要確認")))</f>
        <v>会社退職金 → DC</v>
      </c>
      <c r="C18" s="10" t="s">
        <v>15</v>
      </c>
    </row>
    <row r="19" spans="1:4" ht="18.75" customHeight="1" x14ac:dyDescent="0.4">
      <c r="A19" s="12" t="s">
        <v>16</v>
      </c>
      <c r="B19" s="12" t="s">
        <v>17</v>
      </c>
      <c r="C19" s="12" t="s">
        <v>18</v>
      </c>
    </row>
    <row r="20" spans="1:4" ht="18.75" customHeight="1" x14ac:dyDescent="0.4">
      <c r="A20" s="13" t="s">
        <v>19</v>
      </c>
      <c r="B20" s="16">
        <f>IF(OR(B7="",B8=""),"",DATEDIF(B7,B8+1,"Y")+IF(DATEDIF(B7,B8+1,"YM")+DATEDIF(B7,B8+1,"MD")&gt;0,1,0))</f>
        <v>40</v>
      </c>
      <c r="C20" s="13" t="s">
        <v>20</v>
      </c>
    </row>
    <row r="21" spans="1:4" ht="18.75" customHeight="1" x14ac:dyDescent="0.4">
      <c r="A21" s="13" t="s">
        <v>21</v>
      </c>
      <c r="B21" s="16">
        <f>IF(B20="","",IF(B20&lt;=20,MAX(800000,400000*B20),8000000+700000*(B20-20)))</f>
        <v>22000000</v>
      </c>
      <c r="C21" s="13" t="s">
        <v>22</v>
      </c>
    </row>
    <row r="22" spans="1:4" ht="18.75" customHeight="1" x14ac:dyDescent="0.4">
      <c r="A22" s="13" t="str">
        <f>$B$6&amp;"の加入年数"</f>
        <v>DCの加入年数</v>
      </c>
      <c r="B22" s="16">
        <f>IF(OR(B11="",B12=""),"",DATEDIF(B11,B12+1,"Y")+IF(DATEDIF(B11,B12+1,"YM")+DATEDIF(B11,B12+1,"MD")&gt;0,1,0))</f>
        <v>35</v>
      </c>
      <c r="C22" s="13" t="s">
        <v>10</v>
      </c>
    </row>
    <row r="23" spans="1:4" ht="18.75" customHeight="1" x14ac:dyDescent="0.4">
      <c r="A23" s="13" t="str">
        <f>$B$6&amp;"の退職所得控除額"</f>
        <v>DCの退職所得控除額</v>
      </c>
      <c r="B23" s="16">
        <f>IF(B22="","",IF(B22&lt;=20,MAX(800000,400000*B22),8000000+700000*(B22-20)))</f>
        <v>18500000</v>
      </c>
      <c r="C23" s="13" t="s">
        <v>23</v>
      </c>
    </row>
    <row r="24" spans="1:4" x14ac:dyDescent="0.4">
      <c r="A24" s="10" t="s">
        <v>25</v>
      </c>
      <c r="B24" s="10" t="s">
        <v>216</v>
      </c>
    </row>
    <row r="25" spans="1:4" ht="48" customHeight="1" x14ac:dyDescent="0.4">
      <c r="A25" s="12" t="s">
        <v>26</v>
      </c>
      <c r="B25" s="84" t="s">
        <v>217</v>
      </c>
      <c r="C25" s="84"/>
    </row>
    <row r="27" spans="1:4" ht="18.75" customHeight="1" x14ac:dyDescent="0.4">
      <c r="A27" s="12" t="s">
        <v>27</v>
      </c>
      <c r="B27" s="84" t="s">
        <v>218</v>
      </c>
      <c r="C27" s="84"/>
      <c r="D27" s="13"/>
    </row>
    <row r="28" spans="1:4" x14ac:dyDescent="0.4">
      <c r="B28" s="84"/>
      <c r="C28" s="84"/>
      <c r="D28" s="13"/>
    </row>
    <row r="29" spans="1:4" x14ac:dyDescent="0.4">
      <c r="B29" s="86"/>
      <c r="C29" s="86"/>
      <c r="D29" s="13"/>
    </row>
    <row r="30" spans="1:4" ht="18.75" customHeight="1" x14ac:dyDescent="0.4">
      <c r="A30" s="87" t="s">
        <v>28</v>
      </c>
      <c r="B30" s="87"/>
      <c r="C30" s="87"/>
    </row>
    <row r="31" spans="1:4" ht="54.95" customHeight="1" x14ac:dyDescent="0.4">
      <c r="A31" s="18" t="s">
        <v>29</v>
      </c>
      <c r="B31" s="84" t="s">
        <v>219</v>
      </c>
      <c r="C31" s="84"/>
    </row>
    <row r="32" spans="1:4" ht="54.95" customHeight="1" x14ac:dyDescent="0.4">
      <c r="A32" s="18" t="s">
        <v>30</v>
      </c>
      <c r="B32" s="84" t="s">
        <v>31</v>
      </c>
      <c r="C32" s="84"/>
      <c r="D32" s="17"/>
    </row>
    <row r="33" spans="1:4" ht="54.95" customHeight="1" x14ac:dyDescent="0.4">
      <c r="A33" s="18" t="s">
        <v>32</v>
      </c>
      <c r="B33" s="84" t="s">
        <v>220</v>
      </c>
      <c r="C33" s="84"/>
      <c r="D33" s="17"/>
    </row>
    <row r="34" spans="1:4" ht="54.95" customHeight="1" x14ac:dyDescent="0.4">
      <c r="A34" s="18" t="s">
        <v>33</v>
      </c>
      <c r="B34" s="84" t="s">
        <v>221</v>
      </c>
      <c r="C34" s="84"/>
      <c r="D34" s="17"/>
    </row>
    <row r="35" spans="1:4" ht="54.95" customHeight="1" x14ac:dyDescent="0.4">
      <c r="A35" s="18" t="s">
        <v>34</v>
      </c>
      <c r="B35" s="84" t="s">
        <v>222</v>
      </c>
      <c r="C35" s="84"/>
      <c r="D35" s="17"/>
    </row>
    <row r="36" spans="1:4" ht="18.75" customHeight="1" x14ac:dyDescent="0.4">
      <c r="A36" s="18" t="s">
        <v>35</v>
      </c>
      <c r="B36" s="84" t="s">
        <v>36</v>
      </c>
      <c r="C36" s="84"/>
    </row>
    <row r="37" spans="1:4" ht="50.1" customHeight="1" x14ac:dyDescent="0.4">
      <c r="A37" s="19" t="s">
        <v>37</v>
      </c>
      <c r="B37" s="84" t="s">
        <v>38</v>
      </c>
      <c r="C37" s="84"/>
      <c r="D37" s="17"/>
    </row>
    <row r="38" spans="1:4" x14ac:dyDescent="0.4">
      <c r="A38" s="10" t="s">
        <v>208</v>
      </c>
      <c r="B38" s="60" t="s">
        <v>209</v>
      </c>
    </row>
  </sheetData>
  <sheetProtection algorithmName="SHA-512" hashValue="Zg9X4T9sllKvlGD6lQM/Bu/yPhk2y9pQ1CYI9sNDk7qPCKGRZLfIogTt7CcwLU8K3ZiWr1yG1130snY1xXp94A==" saltValue="FEUjD4HnK3a09R7oW0y50g==" spinCount="100000" sheet="1" objects="1" scenarios="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2">
    <dataValidation type="date" allowBlank="1" showInputMessage="1" showErrorMessage="1" sqref="F7 B7:B9 B11:B13" xr:uid="{86C02B76-66A7-4EB9-B53F-3DCF102BB318}">
      <formula1>1</formula1>
      <formula2>2958465</formula2>
    </dataValidation>
    <dataValidation type="list" allowBlank="1" showInputMessage="1" showErrorMessage="1" sqref="B15:B16 B6" xr:uid="{01BE4F96-4D7C-4AD5-B260-1D9E9EAE8D95}">
      <formula1>"DC,DB"</formula1>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ABEA-3A51-4F2B-8D15-E677D9A48641}">
  <sheetPr>
    <pageSetUpPr fitToPage="1"/>
  </sheetPr>
  <dimension ref="B2:BD70"/>
  <sheetViews>
    <sheetView showGridLines="0" zoomScaleNormal="100" zoomScaleSheetLayoutView="100" workbookViewId="0"/>
  </sheetViews>
  <sheetFormatPr defaultRowHeight="18.75" x14ac:dyDescent="0.4"/>
  <cols>
    <col min="1" max="1" width="9" style="61"/>
    <col min="2" max="2" width="16.625" style="61" customWidth="1"/>
    <col min="3" max="56" width="3.125" style="61" customWidth="1"/>
    <col min="57" max="16384" width="9" style="61"/>
  </cols>
  <sheetData>
    <row r="2" spans="2:56" x14ac:dyDescent="0.4">
      <c r="B2" s="61" t="s">
        <v>225</v>
      </c>
    </row>
    <row r="3" spans="2:56" x14ac:dyDescent="0.4">
      <c r="B3" s="61" t="s">
        <v>226</v>
      </c>
    </row>
    <row r="4" spans="2:56" x14ac:dyDescent="0.4">
      <c r="B4" s="61" t="s">
        <v>227</v>
      </c>
    </row>
    <row r="5" spans="2:56" x14ac:dyDescent="0.4">
      <c r="B5" s="61" t="s">
        <v>228</v>
      </c>
    </row>
    <row r="6" spans="2:56" x14ac:dyDescent="0.4">
      <c r="C6" s="62" t="s">
        <v>229</v>
      </c>
      <c r="D6" s="63"/>
      <c r="E6" s="63"/>
      <c r="F6" s="63"/>
      <c r="G6" s="63"/>
      <c r="H6" s="63"/>
      <c r="I6" s="63"/>
      <c r="J6" s="63"/>
      <c r="K6" s="63"/>
      <c r="L6" s="64"/>
      <c r="M6" s="62" t="s">
        <v>230</v>
      </c>
      <c r="N6" s="63"/>
      <c r="O6" s="63"/>
      <c r="P6" s="63"/>
      <c r="Q6" s="63"/>
      <c r="R6" s="63"/>
      <c r="S6" s="63"/>
      <c r="T6" s="63"/>
      <c r="U6" s="63"/>
      <c r="V6" s="63"/>
      <c r="W6" s="63"/>
      <c r="X6" s="63"/>
      <c r="Y6" s="63"/>
      <c r="Z6" s="63"/>
      <c r="AA6" s="63"/>
      <c r="AB6" s="63"/>
      <c r="AC6" s="63"/>
      <c r="AD6" s="63"/>
      <c r="AE6" s="63"/>
      <c r="AF6" s="63"/>
      <c r="AG6" s="64"/>
    </row>
    <row r="7" spans="2:56" x14ac:dyDescent="0.4">
      <c r="C7" s="65" t="s">
        <v>231</v>
      </c>
      <c r="D7" s="66"/>
      <c r="E7" s="66"/>
      <c r="F7" s="66"/>
      <c r="G7" s="66"/>
      <c r="H7" s="66"/>
      <c r="I7" s="66"/>
      <c r="J7" s="66"/>
      <c r="K7" s="66"/>
      <c r="L7" s="67"/>
      <c r="M7" s="65" t="s">
        <v>232</v>
      </c>
      <c r="N7" s="66"/>
      <c r="O7" s="66"/>
      <c r="P7" s="66"/>
      <c r="Q7" s="66"/>
      <c r="R7" s="66"/>
      <c r="S7" s="66"/>
      <c r="T7" s="66"/>
      <c r="U7" s="66"/>
      <c r="V7" s="66"/>
      <c r="W7" s="66"/>
      <c r="X7" s="66"/>
      <c r="Y7" s="66"/>
      <c r="Z7" s="66"/>
      <c r="AA7" s="66"/>
      <c r="AB7" s="66"/>
      <c r="AC7" s="66"/>
      <c r="AD7" s="66"/>
      <c r="AE7" s="66"/>
      <c r="AF7" s="66"/>
      <c r="AG7" s="67"/>
    </row>
    <row r="8" spans="2:56" x14ac:dyDescent="0.4">
      <c r="C8" s="62" t="s">
        <v>233</v>
      </c>
      <c r="D8" s="63"/>
      <c r="E8" s="63"/>
      <c r="F8" s="63"/>
      <c r="G8" s="63"/>
      <c r="H8" s="63"/>
      <c r="I8" s="63"/>
      <c r="J8" s="63"/>
      <c r="K8" s="63"/>
      <c r="L8" s="64"/>
      <c r="M8" s="62" t="s">
        <v>234</v>
      </c>
      <c r="N8" s="63"/>
      <c r="O8" s="63"/>
      <c r="P8" s="63"/>
      <c r="Q8" s="63"/>
      <c r="R8" s="63"/>
      <c r="S8" s="63"/>
      <c r="T8" s="63"/>
      <c r="U8" s="63"/>
      <c r="V8" s="63"/>
      <c r="W8" s="63"/>
      <c r="X8" s="63"/>
      <c r="Y8" s="63"/>
      <c r="Z8" s="63"/>
      <c r="AA8" s="63"/>
      <c r="AB8" s="63"/>
      <c r="AC8" s="63"/>
      <c r="AD8" s="63"/>
      <c r="AE8" s="63"/>
      <c r="AF8" s="63"/>
      <c r="AG8" s="64"/>
    </row>
    <row r="9" spans="2:56" x14ac:dyDescent="0.4">
      <c r="C9" s="65"/>
      <c r="D9" s="66"/>
      <c r="E9" s="66"/>
      <c r="F9" s="66"/>
      <c r="G9" s="66"/>
      <c r="H9" s="66"/>
      <c r="I9" s="66"/>
      <c r="J9" s="66"/>
      <c r="K9" s="66"/>
      <c r="L9" s="67"/>
      <c r="M9" s="65" t="s">
        <v>235</v>
      </c>
      <c r="N9" s="66"/>
      <c r="O9" s="66"/>
      <c r="P9" s="66"/>
      <c r="Q9" s="66"/>
      <c r="R9" s="66"/>
      <c r="S9" s="66"/>
      <c r="T9" s="66"/>
      <c r="U9" s="66"/>
      <c r="V9" s="66"/>
      <c r="W9" s="66"/>
      <c r="X9" s="66"/>
      <c r="Y9" s="66"/>
      <c r="Z9" s="66"/>
      <c r="AA9" s="66"/>
      <c r="AB9" s="66"/>
      <c r="AC9" s="66"/>
      <c r="AD9" s="66"/>
      <c r="AE9" s="66"/>
      <c r="AF9" s="66"/>
      <c r="AG9" s="67"/>
    </row>
    <row r="10" spans="2:56" x14ac:dyDescent="0.4">
      <c r="B10" s="61" t="s">
        <v>236</v>
      </c>
    </row>
    <row r="12" spans="2:56" ht="23.25" x14ac:dyDescent="0.4">
      <c r="B12" s="92" t="s">
        <v>237</v>
      </c>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3"/>
      <c r="AG12" s="93"/>
      <c r="AH12" s="93"/>
      <c r="AI12" s="93"/>
      <c r="AJ12" s="93"/>
      <c r="AK12" s="93"/>
      <c r="AL12" s="93"/>
      <c r="AM12" s="93"/>
      <c r="AN12" s="93"/>
      <c r="AO12" s="93"/>
      <c r="AP12" s="93"/>
      <c r="AQ12" s="93"/>
      <c r="AR12" s="93"/>
      <c r="AS12" s="93"/>
      <c r="AT12" s="93"/>
      <c r="AU12" s="93"/>
      <c r="AV12" s="93"/>
      <c r="AW12" s="93"/>
      <c r="AX12" s="93"/>
      <c r="AY12" s="93"/>
    </row>
    <row r="13" spans="2:56" x14ac:dyDescent="0.4">
      <c r="B13" s="94" t="s">
        <v>238</v>
      </c>
      <c r="C13" s="93"/>
      <c r="D13" s="93"/>
      <c r="E13" s="93"/>
      <c r="F13" s="93"/>
      <c r="G13" s="93"/>
      <c r="H13" s="93"/>
      <c r="I13" s="93"/>
      <c r="J13" s="93"/>
      <c r="K13" s="93"/>
      <c r="L13" s="93"/>
      <c r="M13" s="93"/>
      <c r="N13" s="93"/>
      <c r="O13" s="93"/>
      <c r="P13" s="93"/>
      <c r="Q13" s="93"/>
      <c r="R13" s="93"/>
      <c r="S13" s="93"/>
      <c r="T13" s="93"/>
      <c r="U13" s="93"/>
      <c r="V13" s="93"/>
      <c r="W13" s="93"/>
      <c r="X13" s="93"/>
      <c r="Y13" s="93"/>
      <c r="Z13" s="93"/>
      <c r="AA13" s="93"/>
      <c r="AB13" s="93"/>
      <c r="AC13" s="93"/>
      <c r="AD13" s="93"/>
      <c r="AE13" s="93"/>
      <c r="AF13" s="93"/>
      <c r="AG13" s="93"/>
      <c r="AH13" s="93"/>
      <c r="AI13" s="93"/>
      <c r="AJ13" s="93"/>
      <c r="AK13" s="93"/>
      <c r="AL13" s="93"/>
      <c r="AM13" s="93"/>
      <c r="AN13" s="93"/>
      <c r="AO13" s="93"/>
      <c r="AP13" s="93"/>
      <c r="AQ13" s="93"/>
      <c r="AR13" s="93"/>
      <c r="AS13" s="93"/>
      <c r="AT13" s="93"/>
      <c r="AU13" s="93"/>
      <c r="AV13" s="93"/>
      <c r="AW13" s="93"/>
      <c r="AX13" s="93"/>
      <c r="AY13" s="93"/>
    </row>
    <row r="14" spans="2:56" x14ac:dyDescent="0.4">
      <c r="B14" s="68"/>
      <c r="C14" s="69" t="s">
        <v>239</v>
      </c>
      <c r="D14" s="69"/>
      <c r="E14" s="69"/>
      <c r="F14" s="68"/>
      <c r="G14" s="70" t="s">
        <v>240</v>
      </c>
      <c r="H14" s="70"/>
      <c r="I14" s="70"/>
      <c r="J14" s="70"/>
      <c r="K14" s="68"/>
      <c r="L14" s="68"/>
      <c r="M14" s="71" t="s">
        <v>241</v>
      </c>
      <c r="N14" s="71"/>
      <c r="O14" s="71"/>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row>
    <row r="15" spans="2:56" x14ac:dyDescent="0.4">
      <c r="B15" s="72" t="s">
        <v>242</v>
      </c>
      <c r="C15" s="73">
        <v>18</v>
      </c>
      <c r="D15" s="73">
        <v>19</v>
      </c>
      <c r="E15" s="73">
        <v>20</v>
      </c>
      <c r="F15" s="73">
        <v>21</v>
      </c>
      <c r="G15" s="73">
        <v>22</v>
      </c>
      <c r="H15" s="73">
        <v>23</v>
      </c>
      <c r="I15" s="73">
        <v>24</v>
      </c>
      <c r="J15" s="73">
        <v>25</v>
      </c>
      <c r="K15" s="73">
        <v>26</v>
      </c>
      <c r="L15" s="73">
        <v>27</v>
      </c>
      <c r="M15" s="73">
        <v>28</v>
      </c>
      <c r="N15" s="73">
        <v>29</v>
      </c>
      <c r="O15" s="73">
        <v>30</v>
      </c>
      <c r="P15" s="73">
        <v>31</v>
      </c>
      <c r="Q15" s="73">
        <v>32</v>
      </c>
      <c r="R15" s="73">
        <v>33</v>
      </c>
      <c r="S15" s="73">
        <v>34</v>
      </c>
      <c r="T15" s="73">
        <v>35</v>
      </c>
      <c r="U15" s="73">
        <v>36</v>
      </c>
      <c r="V15" s="73">
        <v>37</v>
      </c>
      <c r="W15" s="73">
        <v>38</v>
      </c>
      <c r="X15" s="73">
        <v>39</v>
      </c>
      <c r="Y15" s="73">
        <v>40</v>
      </c>
      <c r="Z15" s="73">
        <v>41</v>
      </c>
      <c r="AA15" s="73">
        <v>42</v>
      </c>
      <c r="AB15" s="73">
        <v>43</v>
      </c>
      <c r="AC15" s="73">
        <v>44</v>
      </c>
      <c r="AD15" s="73">
        <v>45</v>
      </c>
      <c r="AE15" s="73">
        <v>46</v>
      </c>
      <c r="AF15" s="73">
        <v>47</v>
      </c>
      <c r="AG15" s="73">
        <v>48</v>
      </c>
      <c r="AH15" s="73">
        <v>49</v>
      </c>
      <c r="AI15" s="73">
        <v>50</v>
      </c>
      <c r="AJ15" s="73">
        <v>51</v>
      </c>
      <c r="AK15" s="73">
        <v>52</v>
      </c>
      <c r="AL15" s="73">
        <v>53</v>
      </c>
      <c r="AM15" s="73">
        <v>54</v>
      </c>
      <c r="AN15" s="73">
        <v>55</v>
      </c>
      <c r="AO15" s="73">
        <v>56</v>
      </c>
      <c r="AP15" s="73">
        <v>57</v>
      </c>
      <c r="AQ15" s="73">
        <v>58</v>
      </c>
      <c r="AR15" s="73">
        <v>59</v>
      </c>
      <c r="AS15" s="73">
        <v>60</v>
      </c>
      <c r="AT15" s="73">
        <v>61</v>
      </c>
      <c r="AU15" s="73">
        <v>62</v>
      </c>
      <c r="AV15" s="73">
        <v>63</v>
      </c>
      <c r="AW15" s="73">
        <v>64</v>
      </c>
      <c r="AX15" s="73">
        <v>65</v>
      </c>
      <c r="AY15" s="73">
        <v>66</v>
      </c>
      <c r="AZ15" s="73">
        <v>67</v>
      </c>
      <c r="BA15" s="74"/>
      <c r="BB15" s="74"/>
      <c r="BC15" s="74"/>
      <c r="BD15" s="74"/>
    </row>
    <row r="17" spans="2:56" x14ac:dyDescent="0.4">
      <c r="B17" s="75" t="s">
        <v>243</v>
      </c>
      <c r="C17" s="75"/>
      <c r="D17" s="75"/>
      <c r="E17" s="75"/>
      <c r="F17" s="75"/>
      <c r="G17" s="75"/>
      <c r="H17" s="75"/>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6"/>
      <c r="AO17" s="76"/>
      <c r="AP17" s="76"/>
      <c r="AQ17" s="76"/>
      <c r="AR17" s="76"/>
      <c r="AS17" s="76"/>
      <c r="AT17" s="76"/>
      <c r="AU17" s="76"/>
      <c r="AV17" s="76"/>
      <c r="AW17" s="76"/>
      <c r="AX17" s="76" t="s">
        <v>244</v>
      </c>
      <c r="AY17" s="76"/>
      <c r="AZ17" s="76"/>
      <c r="BA17" s="76"/>
      <c r="BB17" s="76"/>
      <c r="BC17" s="76"/>
      <c r="BD17" s="76"/>
    </row>
    <row r="18" spans="2:56" x14ac:dyDescent="0.4">
      <c r="B18" s="77" t="s">
        <v>245</v>
      </c>
      <c r="E18" s="78"/>
      <c r="F18" s="78"/>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row>
    <row r="19" spans="2:56" x14ac:dyDescent="0.4">
      <c r="B19" s="77" t="s">
        <v>246</v>
      </c>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row>
    <row r="20" spans="2:56" x14ac:dyDescent="0.4">
      <c r="B20" s="77" t="s">
        <v>247</v>
      </c>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row>
    <row r="21" spans="2:56" x14ac:dyDescent="0.4">
      <c r="B21" s="77" t="s">
        <v>248</v>
      </c>
      <c r="E21" s="81"/>
      <c r="F21" s="81"/>
      <c r="G21" s="81"/>
      <c r="H21" s="81"/>
      <c r="I21" s="81"/>
      <c r="J21" s="81"/>
      <c r="K21" s="81"/>
      <c r="L21" s="81"/>
      <c r="M21" s="81"/>
      <c r="N21" s="81"/>
      <c r="O21" s="81"/>
      <c r="P21" s="81"/>
      <c r="Q21" s="81"/>
      <c r="R21" s="81"/>
      <c r="S21" s="81"/>
      <c r="T21" s="81"/>
      <c r="U21" s="81"/>
      <c r="V21" s="81"/>
      <c r="W21" s="81"/>
      <c r="X21" s="81"/>
      <c r="Y21" s="81"/>
      <c r="Z21" s="81"/>
      <c r="AA21" s="81"/>
      <c r="AB21" s="81"/>
      <c r="AC21" s="81"/>
      <c r="AD21" s="81"/>
      <c r="AE21" s="81"/>
      <c r="AF21" s="81"/>
      <c r="AG21" s="81"/>
      <c r="AH21" s="81"/>
      <c r="AI21" s="81"/>
      <c r="AJ21" s="81"/>
      <c r="AK21" s="81"/>
      <c r="AL21" s="81"/>
      <c r="AM21" s="81"/>
      <c r="AN21" s="81"/>
      <c r="AO21" s="81"/>
      <c r="AP21" s="81"/>
      <c r="AQ21" s="81"/>
      <c r="AR21" s="81"/>
      <c r="AS21" s="81" t="s">
        <v>249</v>
      </c>
      <c r="AT21" s="81"/>
      <c r="AU21" s="81"/>
      <c r="AV21" s="81"/>
      <c r="AW21" s="81"/>
      <c r="AX21" s="81"/>
      <c r="AY21" s="81"/>
      <c r="AZ21" s="81"/>
      <c r="BA21" s="81"/>
      <c r="BB21" s="81"/>
      <c r="BC21" s="81"/>
      <c r="BD21" s="81"/>
    </row>
    <row r="22" spans="2:56" x14ac:dyDescent="0.4">
      <c r="E22" s="81"/>
      <c r="F22" s="81"/>
      <c r="G22" s="81"/>
      <c r="H22" s="81"/>
      <c r="I22" s="81"/>
      <c r="J22" s="81"/>
      <c r="K22" s="81"/>
      <c r="L22" s="81"/>
      <c r="M22" s="81"/>
      <c r="N22" s="81"/>
      <c r="O22" s="81"/>
      <c r="P22" s="81"/>
      <c r="Q22" s="81"/>
      <c r="R22" s="81"/>
      <c r="S22" s="81"/>
      <c r="T22" s="81"/>
      <c r="U22" s="81"/>
      <c r="V22" s="81"/>
      <c r="W22" s="81"/>
      <c r="X22" s="81"/>
      <c r="Y22" s="81"/>
      <c r="Z22" s="81"/>
      <c r="AA22" s="81"/>
      <c r="AB22" s="81"/>
      <c r="AC22" s="81"/>
      <c r="AD22" s="81"/>
      <c r="AE22" s="81"/>
      <c r="AF22" s="81"/>
      <c r="AG22" s="81"/>
      <c r="AH22" s="81"/>
      <c r="AI22" s="81"/>
      <c r="AJ22" s="81"/>
      <c r="AK22" s="81"/>
      <c r="AL22" s="81"/>
      <c r="AM22" s="81"/>
      <c r="AN22" s="81"/>
      <c r="AO22" s="81"/>
      <c r="AP22" s="82"/>
      <c r="AQ22" s="82"/>
      <c r="AR22" s="82"/>
      <c r="AS22" s="82"/>
      <c r="AT22" s="82"/>
      <c r="AU22" s="82"/>
      <c r="AV22" s="82"/>
      <c r="AW22" s="82"/>
      <c r="AX22" s="82"/>
      <c r="AY22" s="83" t="s">
        <v>250</v>
      </c>
      <c r="AZ22" s="81"/>
      <c r="BA22" s="81"/>
      <c r="BB22" s="81"/>
      <c r="BC22" s="81"/>
      <c r="BD22" s="81"/>
    </row>
    <row r="23" spans="2:56" x14ac:dyDescent="0.4">
      <c r="B23" s="90" t="s">
        <v>251</v>
      </c>
      <c r="C23" s="89"/>
      <c r="D23" s="89"/>
      <c r="E23" s="89"/>
      <c r="F23" s="89"/>
      <c r="G23" s="89"/>
      <c r="H23" s="89"/>
      <c r="I23" s="89"/>
      <c r="J23" s="89"/>
      <c r="K23" s="89"/>
      <c r="L23" s="89"/>
      <c r="M23" s="89"/>
      <c r="N23" s="89"/>
      <c r="O23" s="89"/>
      <c r="P23" s="89"/>
    </row>
    <row r="24" spans="2:56" x14ac:dyDescent="0.4">
      <c r="B24" s="88" t="s">
        <v>252</v>
      </c>
      <c r="C24" s="89"/>
      <c r="D24" s="89"/>
      <c r="E24" s="89"/>
      <c r="F24" s="89"/>
      <c r="G24" s="89"/>
      <c r="H24" s="89"/>
      <c r="I24" s="89"/>
      <c r="J24" s="89"/>
      <c r="K24" s="89"/>
      <c r="L24" s="89"/>
      <c r="M24" s="89"/>
      <c r="N24" s="89"/>
      <c r="O24" s="89"/>
      <c r="P24" s="89"/>
      <c r="Q24" s="89"/>
      <c r="R24" s="89"/>
      <c r="S24" s="89"/>
      <c r="T24" s="89"/>
      <c r="U24" s="89"/>
      <c r="V24" s="89"/>
      <c r="W24" s="89"/>
      <c r="X24" s="89"/>
      <c r="Y24" s="89"/>
      <c r="Z24" s="89"/>
    </row>
    <row r="27" spans="2:56" x14ac:dyDescent="0.4">
      <c r="B27" s="75" t="s">
        <v>253</v>
      </c>
      <c r="C27" s="75"/>
      <c r="D27" s="75"/>
      <c r="E27" s="75"/>
      <c r="F27" s="75"/>
      <c r="G27" s="75"/>
      <c r="H27" s="75"/>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AL27" s="76"/>
      <c r="AM27" s="76"/>
      <c r="AN27" s="76"/>
      <c r="AO27" s="76"/>
      <c r="AP27" s="76"/>
      <c r="AQ27" s="76"/>
      <c r="AR27" s="76"/>
      <c r="AS27" s="76" t="s">
        <v>254</v>
      </c>
      <c r="AT27" s="76"/>
      <c r="AU27" s="76"/>
      <c r="AV27" s="76"/>
      <c r="AW27" s="76"/>
      <c r="AX27" s="76"/>
      <c r="AY27" s="76"/>
      <c r="AZ27" s="76"/>
      <c r="BA27" s="76"/>
      <c r="BB27" s="76"/>
      <c r="BC27" s="76"/>
      <c r="BD27" s="76"/>
    </row>
    <row r="28" spans="2:56" x14ac:dyDescent="0.4">
      <c r="B28" s="77" t="s">
        <v>245</v>
      </c>
      <c r="E28" s="78"/>
      <c r="F28" s="78"/>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8"/>
      <c r="AQ28" s="78"/>
      <c r="AR28" s="78"/>
      <c r="AS28" s="78"/>
    </row>
    <row r="29" spans="2:56" x14ac:dyDescent="0.4">
      <c r="B29" s="77" t="s">
        <v>246</v>
      </c>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c r="AO29" s="79"/>
      <c r="AP29" s="79"/>
      <c r="AQ29" s="79"/>
      <c r="AR29" s="79"/>
      <c r="AS29" s="79"/>
      <c r="AT29" s="79"/>
      <c r="AU29" s="79"/>
      <c r="AV29" s="79"/>
      <c r="AW29" s="79"/>
      <c r="AX29" s="79"/>
    </row>
    <row r="30" spans="2:56" x14ac:dyDescent="0.4">
      <c r="B30" s="77" t="s">
        <v>247</v>
      </c>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row>
    <row r="31" spans="2:56" x14ac:dyDescent="0.4">
      <c r="B31" s="77" t="s">
        <v>248</v>
      </c>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1"/>
      <c r="AP31" s="81"/>
      <c r="AQ31" s="81"/>
      <c r="AR31" s="81"/>
      <c r="AS31" s="81"/>
      <c r="AT31" s="81"/>
      <c r="AU31" s="81"/>
      <c r="AV31" s="81"/>
      <c r="AW31" s="81"/>
      <c r="AX31" s="81" t="s">
        <v>255</v>
      </c>
      <c r="AY31" s="81"/>
      <c r="AZ31" s="81"/>
      <c r="BA31" s="81"/>
      <c r="BB31" s="81"/>
      <c r="BC31" s="81"/>
      <c r="BD31" s="81"/>
    </row>
    <row r="32" spans="2:56" x14ac:dyDescent="0.4">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2"/>
      <c r="AG32" s="82"/>
      <c r="AH32" s="82"/>
      <c r="AI32" s="82"/>
      <c r="AJ32" s="82"/>
      <c r="AK32" s="82"/>
      <c r="AL32" s="82"/>
      <c r="AM32" s="82"/>
      <c r="AN32" s="82"/>
      <c r="AO32" s="82"/>
      <c r="AP32" s="82"/>
      <c r="AQ32" s="82"/>
      <c r="AR32" s="82"/>
      <c r="AS32" s="82"/>
      <c r="AT32" s="82"/>
      <c r="AU32" s="82"/>
      <c r="AV32" s="82"/>
      <c r="AW32" s="82"/>
      <c r="AX32" s="82"/>
      <c r="AY32" s="83" t="s">
        <v>256</v>
      </c>
      <c r="AZ32" s="81"/>
      <c r="BA32" s="81"/>
      <c r="BB32" s="81"/>
      <c r="BC32" s="81"/>
      <c r="BD32" s="81"/>
    </row>
    <row r="34" spans="2:56" x14ac:dyDescent="0.4">
      <c r="B34" s="61" t="s">
        <v>257</v>
      </c>
    </row>
    <row r="35" spans="2:56" x14ac:dyDescent="0.4">
      <c r="C35" s="62" t="s">
        <v>258</v>
      </c>
      <c r="D35" s="63"/>
      <c r="E35" s="63"/>
      <c r="F35" s="63"/>
      <c r="G35" s="63"/>
      <c r="H35" s="63"/>
      <c r="I35" s="63"/>
      <c r="J35" s="63"/>
      <c r="K35" s="63"/>
      <c r="L35" s="64"/>
      <c r="M35" s="62" t="s">
        <v>259</v>
      </c>
      <c r="N35" s="63"/>
      <c r="O35" s="63"/>
      <c r="P35" s="63"/>
      <c r="Q35" s="63"/>
      <c r="R35" s="63"/>
      <c r="S35" s="63"/>
      <c r="T35" s="63"/>
      <c r="U35" s="63"/>
      <c r="V35" s="63"/>
      <c r="W35" s="63"/>
      <c r="X35" s="63"/>
      <c r="Y35" s="63"/>
      <c r="Z35" s="63"/>
      <c r="AA35" s="63"/>
      <c r="AB35" s="63"/>
      <c r="AC35" s="63"/>
      <c r="AD35" s="63"/>
      <c r="AE35" s="63"/>
      <c r="AF35" s="63"/>
      <c r="AG35" s="63"/>
      <c r="AH35" s="64"/>
    </row>
    <row r="36" spans="2:56" x14ac:dyDescent="0.4">
      <c r="C36" s="65" t="s">
        <v>231</v>
      </c>
      <c r="D36" s="66"/>
      <c r="E36" s="66"/>
      <c r="F36" s="66"/>
      <c r="G36" s="66"/>
      <c r="H36" s="66"/>
      <c r="I36" s="66"/>
      <c r="J36" s="66"/>
      <c r="K36" s="66"/>
      <c r="L36" s="67"/>
      <c r="M36" s="65" t="s">
        <v>232</v>
      </c>
      <c r="N36" s="66"/>
      <c r="O36" s="66"/>
      <c r="P36" s="66"/>
      <c r="Q36" s="66"/>
      <c r="R36" s="66"/>
      <c r="S36" s="66"/>
      <c r="T36" s="66"/>
      <c r="U36" s="66"/>
      <c r="V36" s="66"/>
      <c r="W36" s="66"/>
      <c r="X36" s="66"/>
      <c r="Y36" s="66"/>
      <c r="Z36" s="66"/>
      <c r="AA36" s="66"/>
      <c r="AB36" s="66"/>
      <c r="AC36" s="66"/>
      <c r="AD36" s="66"/>
      <c r="AE36" s="66"/>
      <c r="AF36" s="66"/>
      <c r="AG36" s="66"/>
      <c r="AH36" s="67"/>
    </row>
    <row r="37" spans="2:56" x14ac:dyDescent="0.4">
      <c r="C37" s="62" t="s">
        <v>260</v>
      </c>
      <c r="D37" s="63"/>
      <c r="E37" s="63"/>
      <c r="F37" s="63"/>
      <c r="G37" s="63"/>
      <c r="H37" s="63"/>
      <c r="I37" s="63"/>
      <c r="J37" s="63"/>
      <c r="K37" s="63"/>
      <c r="L37" s="64"/>
      <c r="M37" s="62" t="s">
        <v>261</v>
      </c>
      <c r="N37" s="63"/>
      <c r="O37" s="63"/>
      <c r="P37" s="63"/>
      <c r="Q37" s="63"/>
      <c r="R37" s="63"/>
      <c r="S37" s="63"/>
      <c r="T37" s="63"/>
      <c r="U37" s="63"/>
      <c r="V37" s="63"/>
      <c r="W37" s="63"/>
      <c r="X37" s="63"/>
      <c r="Y37" s="63"/>
      <c r="Z37" s="63"/>
      <c r="AA37" s="63"/>
      <c r="AB37" s="63"/>
      <c r="AC37" s="63"/>
      <c r="AD37" s="63"/>
      <c r="AE37" s="63"/>
      <c r="AF37" s="63"/>
      <c r="AG37" s="63"/>
      <c r="AH37" s="64"/>
    </row>
    <row r="38" spans="2:56" x14ac:dyDescent="0.4">
      <c r="C38" s="65"/>
      <c r="D38" s="66"/>
      <c r="E38" s="66"/>
      <c r="F38" s="66"/>
      <c r="G38" s="66"/>
      <c r="H38" s="66"/>
      <c r="I38" s="66"/>
      <c r="J38" s="66"/>
      <c r="K38" s="66"/>
      <c r="L38" s="67"/>
      <c r="M38" s="65" t="s">
        <v>262</v>
      </c>
      <c r="N38" s="66"/>
      <c r="O38" s="66"/>
      <c r="P38" s="66"/>
      <c r="Q38" s="66"/>
      <c r="R38" s="66"/>
      <c r="S38" s="66"/>
      <c r="T38" s="66"/>
      <c r="U38" s="66"/>
      <c r="V38" s="66"/>
      <c r="W38" s="66"/>
      <c r="X38" s="66"/>
      <c r="Y38" s="66"/>
      <c r="Z38" s="66"/>
      <c r="AA38" s="66"/>
      <c r="AB38" s="66"/>
      <c r="AC38" s="66"/>
      <c r="AD38" s="66"/>
      <c r="AE38" s="66"/>
      <c r="AF38" s="66"/>
      <c r="AG38" s="66"/>
      <c r="AH38" s="67"/>
    </row>
    <row r="40" spans="2:56" ht="23.25" x14ac:dyDescent="0.4">
      <c r="B40" s="92" t="s">
        <v>263</v>
      </c>
      <c r="C40" s="93"/>
      <c r="D40" s="93"/>
      <c r="E40" s="93"/>
      <c r="F40" s="93"/>
      <c r="G40" s="93"/>
      <c r="H40" s="93"/>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93"/>
      <c r="AH40" s="93"/>
      <c r="AI40" s="93"/>
      <c r="AJ40" s="93"/>
      <c r="AK40" s="93"/>
      <c r="AL40" s="93"/>
      <c r="AM40" s="93"/>
      <c r="AN40" s="93"/>
      <c r="AO40" s="93"/>
      <c r="AP40" s="93"/>
      <c r="AQ40" s="93"/>
      <c r="AR40" s="93"/>
      <c r="AS40" s="93"/>
      <c r="AT40" s="93"/>
      <c r="AU40" s="93"/>
      <c r="AV40" s="93"/>
      <c r="AW40" s="93"/>
      <c r="AX40" s="93"/>
      <c r="AY40" s="93"/>
    </row>
    <row r="41" spans="2:56" x14ac:dyDescent="0.4">
      <c r="B41" s="72" t="s">
        <v>242</v>
      </c>
      <c r="C41" s="73">
        <v>18</v>
      </c>
      <c r="D41" s="73">
        <v>19</v>
      </c>
      <c r="E41" s="73">
        <v>20</v>
      </c>
      <c r="F41" s="73">
        <v>21</v>
      </c>
      <c r="G41" s="73">
        <v>22</v>
      </c>
      <c r="H41" s="73">
        <v>23</v>
      </c>
      <c r="I41" s="73">
        <v>24</v>
      </c>
      <c r="J41" s="73">
        <v>25</v>
      </c>
      <c r="K41" s="73">
        <v>26</v>
      </c>
      <c r="L41" s="73">
        <v>27</v>
      </c>
      <c r="M41" s="73">
        <v>28</v>
      </c>
      <c r="N41" s="73">
        <v>29</v>
      </c>
      <c r="O41" s="73">
        <v>30</v>
      </c>
      <c r="P41" s="73">
        <v>31</v>
      </c>
      <c r="Q41" s="73">
        <v>32</v>
      </c>
      <c r="R41" s="73">
        <v>33</v>
      </c>
      <c r="S41" s="73">
        <v>34</v>
      </c>
      <c r="T41" s="73">
        <v>35</v>
      </c>
      <c r="U41" s="73">
        <v>36</v>
      </c>
      <c r="V41" s="73">
        <v>37</v>
      </c>
      <c r="W41" s="73">
        <v>38</v>
      </c>
      <c r="X41" s="73">
        <v>39</v>
      </c>
      <c r="Y41" s="73">
        <v>40</v>
      </c>
      <c r="Z41" s="73">
        <v>41</v>
      </c>
      <c r="AA41" s="73">
        <v>42</v>
      </c>
      <c r="AB41" s="73">
        <v>43</v>
      </c>
      <c r="AC41" s="73">
        <v>44</v>
      </c>
      <c r="AD41" s="73">
        <v>45</v>
      </c>
      <c r="AE41" s="73">
        <v>46</v>
      </c>
      <c r="AF41" s="73">
        <v>47</v>
      </c>
      <c r="AG41" s="73">
        <v>48</v>
      </c>
      <c r="AH41" s="73">
        <v>49</v>
      </c>
      <c r="AI41" s="73">
        <v>50</v>
      </c>
      <c r="AJ41" s="73">
        <v>51</v>
      </c>
      <c r="AK41" s="73">
        <v>52</v>
      </c>
      <c r="AL41" s="73">
        <v>53</v>
      </c>
      <c r="AM41" s="73">
        <v>54</v>
      </c>
      <c r="AN41" s="73">
        <v>55</v>
      </c>
      <c r="AO41" s="73">
        <v>56</v>
      </c>
      <c r="AP41" s="73">
        <v>57</v>
      </c>
      <c r="AQ41" s="73">
        <v>58</v>
      </c>
      <c r="AR41" s="73">
        <v>59</v>
      </c>
      <c r="AS41" s="73">
        <v>60</v>
      </c>
      <c r="AT41" s="73">
        <v>61</v>
      </c>
      <c r="AU41" s="73">
        <v>62</v>
      </c>
      <c r="AV41" s="73">
        <v>63</v>
      </c>
      <c r="AW41" s="73">
        <v>64</v>
      </c>
      <c r="AX41" s="73">
        <v>65</v>
      </c>
      <c r="AY41" s="73">
        <v>66</v>
      </c>
      <c r="AZ41" s="73">
        <v>67</v>
      </c>
      <c r="BA41" s="74"/>
      <c r="BB41" s="74"/>
      <c r="BC41" s="74"/>
      <c r="BD41" s="74"/>
    </row>
    <row r="43" spans="2:56" x14ac:dyDescent="0.4">
      <c r="B43" s="75" t="s">
        <v>264</v>
      </c>
      <c r="C43" s="75"/>
      <c r="D43" s="75"/>
      <c r="E43" s="75"/>
      <c r="F43" s="75"/>
      <c r="G43" s="75"/>
      <c r="H43" s="75"/>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t="s">
        <v>244</v>
      </c>
      <c r="AY43" s="76"/>
      <c r="AZ43" s="76"/>
      <c r="BA43" s="76"/>
      <c r="BB43" s="76"/>
      <c r="BC43" s="76"/>
      <c r="BD43" s="76"/>
    </row>
    <row r="44" spans="2:56" x14ac:dyDescent="0.4">
      <c r="B44" s="77" t="s">
        <v>245</v>
      </c>
      <c r="E44" s="78"/>
      <c r="F44" s="78"/>
      <c r="G44" s="78"/>
      <c r="H44" s="78"/>
      <c r="I44" s="7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78"/>
      <c r="AQ44" s="78"/>
      <c r="AR44" s="78"/>
      <c r="AS44" s="78"/>
      <c r="AT44" s="78"/>
      <c r="AU44" s="78"/>
      <c r="AV44" s="78"/>
      <c r="AW44" s="78"/>
      <c r="AX44" s="78"/>
    </row>
    <row r="45" spans="2:56" x14ac:dyDescent="0.4">
      <c r="B45" s="77" t="s">
        <v>265</v>
      </c>
      <c r="O45" s="79"/>
      <c r="P45" s="79"/>
      <c r="Q45" s="79"/>
      <c r="R45" s="79"/>
      <c r="S45" s="79"/>
      <c r="T45" s="79"/>
      <c r="U45" s="79"/>
      <c r="V45" s="79"/>
      <c r="W45" s="79"/>
      <c r="X45" s="79"/>
      <c r="Y45" s="79"/>
      <c r="Z45" s="79"/>
      <c r="AA45" s="79"/>
      <c r="AB45" s="79"/>
      <c r="AC45" s="79"/>
      <c r="AD45" s="79"/>
      <c r="AE45" s="79"/>
      <c r="AF45" s="79"/>
      <c r="AG45" s="79"/>
      <c r="AH45" s="79"/>
      <c r="AI45" s="79"/>
      <c r="AJ45" s="79"/>
      <c r="AK45" s="79"/>
      <c r="AL45" s="79"/>
      <c r="AM45" s="79"/>
      <c r="AN45" s="79"/>
      <c r="AO45" s="79"/>
      <c r="AP45" s="79"/>
      <c r="AQ45" s="79"/>
      <c r="AR45" s="79"/>
      <c r="AS45" s="79"/>
    </row>
    <row r="46" spans="2:56" x14ac:dyDescent="0.4">
      <c r="B46" s="77" t="s">
        <v>247</v>
      </c>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row>
    <row r="47" spans="2:56" x14ac:dyDescent="0.4">
      <c r="B47" s="77" t="s">
        <v>248</v>
      </c>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t="s">
        <v>266</v>
      </c>
      <c r="AT47" s="81"/>
      <c r="AU47" s="81"/>
      <c r="AV47" s="81"/>
      <c r="AW47" s="81"/>
      <c r="AX47" s="81"/>
      <c r="AY47" s="81"/>
      <c r="AZ47" s="81"/>
      <c r="BA47" s="81"/>
      <c r="BB47" s="81"/>
      <c r="BC47" s="81"/>
      <c r="BD47" s="81"/>
    </row>
    <row r="48" spans="2:56" x14ac:dyDescent="0.4">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U48" s="82"/>
      <c r="AV48" s="82"/>
      <c r="AW48" s="82"/>
      <c r="AX48" s="82"/>
      <c r="AY48" s="83" t="s">
        <v>267</v>
      </c>
      <c r="AZ48" s="81"/>
      <c r="BA48" s="81"/>
      <c r="BB48" s="81"/>
      <c r="BC48" s="81"/>
      <c r="BD48" s="81"/>
    </row>
    <row r="49" spans="2:56" x14ac:dyDescent="0.4">
      <c r="B49" s="90" t="s">
        <v>251</v>
      </c>
      <c r="C49" s="89"/>
      <c r="D49" s="89"/>
      <c r="E49" s="89"/>
      <c r="F49" s="89"/>
      <c r="G49" s="89"/>
      <c r="H49" s="89"/>
      <c r="I49" s="89"/>
      <c r="J49" s="89"/>
      <c r="K49" s="89"/>
      <c r="L49" s="89"/>
      <c r="M49" s="89"/>
      <c r="N49" s="89"/>
      <c r="O49" s="89"/>
      <c r="P49" s="89"/>
    </row>
    <row r="50" spans="2:56" x14ac:dyDescent="0.4">
      <c r="B50" s="88" t="s">
        <v>268</v>
      </c>
      <c r="C50" s="89"/>
      <c r="D50" s="89"/>
      <c r="E50" s="89"/>
      <c r="F50" s="89"/>
      <c r="G50" s="89"/>
      <c r="H50" s="89"/>
      <c r="I50" s="89"/>
      <c r="J50" s="89"/>
      <c r="K50" s="89"/>
      <c r="L50" s="89"/>
      <c r="M50" s="89"/>
      <c r="N50" s="89"/>
      <c r="O50" s="89"/>
      <c r="P50" s="89"/>
      <c r="Q50" s="89"/>
      <c r="R50" s="89"/>
      <c r="S50" s="89"/>
      <c r="T50" s="89"/>
      <c r="U50" s="89"/>
      <c r="V50" s="89"/>
      <c r="W50" s="89"/>
      <c r="X50" s="89"/>
      <c r="Y50" s="89"/>
      <c r="Z50" s="89"/>
    </row>
    <row r="51" spans="2:56" x14ac:dyDescent="0.4">
      <c r="B51" s="61" t="s">
        <v>269</v>
      </c>
    </row>
    <row r="53" spans="2:56" x14ac:dyDescent="0.4">
      <c r="B53" s="75" t="s">
        <v>270</v>
      </c>
      <c r="C53" s="75"/>
      <c r="D53" s="75"/>
      <c r="E53" s="75"/>
      <c r="F53" s="75"/>
      <c r="G53" s="75"/>
      <c r="H53" s="75"/>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t="s">
        <v>254</v>
      </c>
      <c r="AT53" s="76"/>
      <c r="AU53" s="76"/>
      <c r="AV53" s="76"/>
      <c r="AW53" s="76"/>
      <c r="AX53" s="76"/>
      <c r="AY53" s="76"/>
      <c r="AZ53" s="76"/>
      <c r="BA53" s="76"/>
      <c r="BB53" s="76"/>
      <c r="BC53" s="76"/>
      <c r="BD53" s="76"/>
    </row>
    <row r="54" spans="2:56" x14ac:dyDescent="0.4">
      <c r="B54" s="77" t="s">
        <v>245</v>
      </c>
      <c r="E54" s="78"/>
      <c r="F54" s="78"/>
      <c r="G54" s="78"/>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row>
    <row r="55" spans="2:56" x14ac:dyDescent="0.4">
      <c r="B55" s="77" t="s">
        <v>265</v>
      </c>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row>
    <row r="56" spans="2:56" x14ac:dyDescent="0.4">
      <c r="B56" s="77" t="s">
        <v>247</v>
      </c>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row>
    <row r="57" spans="2:56" x14ac:dyDescent="0.4">
      <c r="B57" s="77" t="s">
        <v>248</v>
      </c>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t="s">
        <v>271</v>
      </c>
      <c r="AY57" s="81"/>
      <c r="AZ57" s="81"/>
      <c r="BA57" s="81"/>
      <c r="BB57" s="81"/>
      <c r="BC57" s="81"/>
      <c r="BD57" s="81"/>
    </row>
    <row r="58" spans="2:56" x14ac:dyDescent="0.4">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U58" s="82"/>
      <c r="AV58" s="82"/>
      <c r="AW58" s="82"/>
      <c r="AX58" s="82"/>
      <c r="AY58" s="83" t="s">
        <v>267</v>
      </c>
      <c r="AZ58" s="81"/>
      <c r="BA58" s="81"/>
      <c r="BB58" s="81"/>
      <c r="BC58" s="81"/>
      <c r="BD58" s="81"/>
    </row>
    <row r="59" spans="2:56" x14ac:dyDescent="0.4">
      <c r="B59" s="90" t="s">
        <v>272</v>
      </c>
      <c r="C59" s="89"/>
      <c r="D59" s="89"/>
      <c r="E59" s="89"/>
      <c r="F59" s="89"/>
      <c r="G59" s="89"/>
      <c r="H59" s="89"/>
      <c r="I59" s="89"/>
      <c r="J59" s="89"/>
      <c r="K59" s="89"/>
      <c r="L59" s="89"/>
      <c r="M59" s="89"/>
      <c r="N59" s="89"/>
      <c r="O59" s="89"/>
      <c r="P59" s="89"/>
    </row>
    <row r="60" spans="2:56" x14ac:dyDescent="0.4">
      <c r="B60" s="88" t="s">
        <v>268</v>
      </c>
      <c r="C60" s="89"/>
      <c r="D60" s="89"/>
      <c r="E60" s="89"/>
      <c r="F60" s="89"/>
      <c r="G60" s="89"/>
      <c r="H60" s="89"/>
      <c r="I60" s="89"/>
      <c r="J60" s="89"/>
      <c r="K60" s="89"/>
      <c r="L60" s="89"/>
      <c r="M60" s="89"/>
      <c r="N60" s="89"/>
      <c r="O60" s="89"/>
      <c r="P60" s="89"/>
      <c r="Q60" s="89"/>
      <c r="R60" s="89"/>
      <c r="S60" s="89"/>
      <c r="T60" s="89"/>
      <c r="U60" s="89"/>
      <c r="V60" s="89"/>
      <c r="W60" s="89"/>
      <c r="X60" s="89"/>
      <c r="Y60" s="89"/>
      <c r="Z60" s="89"/>
    </row>
    <row r="61" spans="2:56" x14ac:dyDescent="0.4">
      <c r="B61" s="61" t="s">
        <v>269</v>
      </c>
    </row>
    <row r="63" spans="2:56" x14ac:dyDescent="0.4">
      <c r="B63" s="75" t="s">
        <v>273</v>
      </c>
    </row>
    <row r="64" spans="2:56" x14ac:dyDescent="0.4">
      <c r="B64" s="91" t="s">
        <v>274</v>
      </c>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row>
    <row r="65" spans="2:51" x14ac:dyDescent="0.4">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row>
    <row r="66" spans="2:51" x14ac:dyDescent="0.4">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row>
    <row r="68" spans="2:51" x14ac:dyDescent="0.4">
      <c r="B68" s="75" t="s">
        <v>275</v>
      </c>
    </row>
    <row r="69" spans="2:51" x14ac:dyDescent="0.4">
      <c r="B69" s="91" t="s">
        <v>276</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row>
    <row r="70" spans="2:51" x14ac:dyDescent="0.4">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row>
  </sheetData>
  <sheetProtection algorithmName="SHA-512" hashValue="oRew7oK5RrebL3ikYbb5mrrqCwtYk96SN7lm2yyxRaPIrPICb7DS7sYEbupYaTok13XO6PM3C0vgC2TZ6/xVQA==" saltValue="3tduD31ZVtNoKEQtwr17xQ==" spinCount="100000" sheet="1" objects="1" scenarios="1"/>
  <mergeCells count="11">
    <mergeCell ref="B49:P49"/>
    <mergeCell ref="B12:AY12"/>
    <mergeCell ref="B13:AY13"/>
    <mergeCell ref="B23:P23"/>
    <mergeCell ref="B24:Z24"/>
    <mergeCell ref="B40:AY40"/>
    <mergeCell ref="B50:Z50"/>
    <mergeCell ref="B59:P59"/>
    <mergeCell ref="B60:Z60"/>
    <mergeCell ref="B64:AY66"/>
    <mergeCell ref="B69:AY70"/>
  </mergeCells>
  <phoneticPr fontId="1"/>
  <pageMargins left="0.75" right="0.75" top="1" bottom="1" header="0.5" footer="0.5"/>
  <pageSetup paperSize="9" scale="41" fitToHeight="0" orientation="portrait" horizontalDpi="4294967293"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activeCell="B5" sqref="B5"/>
    </sheetView>
  </sheetViews>
  <sheetFormatPr defaultRowHeight="18.75" x14ac:dyDescent="0.4"/>
  <cols>
    <col min="1" max="1" width="30" style="10" customWidth="1"/>
    <col min="2" max="2" width="22.625" style="10" customWidth="1"/>
    <col min="3" max="3" width="44.625" style="10" customWidth="1"/>
    <col min="4" max="4" width="46.375" style="10" customWidth="1"/>
    <col min="5" max="5" width="14.75" style="10" customWidth="1"/>
    <col min="6" max="6" width="12" style="10" customWidth="1"/>
    <col min="7" max="16384" width="9" style="11"/>
  </cols>
  <sheetData>
    <row r="1" spans="1:6" x14ac:dyDescent="0.4">
      <c r="A1" s="97" t="s">
        <v>39</v>
      </c>
      <c r="B1" s="96"/>
      <c r="C1" s="96"/>
      <c r="D1" s="96"/>
      <c r="E1" s="96"/>
      <c r="F1" s="96"/>
    </row>
    <row r="3" spans="1:6" ht="18.75" customHeight="1" x14ac:dyDescent="0.4">
      <c r="A3" s="12" t="s">
        <v>40</v>
      </c>
      <c r="B3" s="12" t="s">
        <v>41</v>
      </c>
      <c r="C3" s="12" t="s">
        <v>18</v>
      </c>
      <c r="D3" s="12" t="s">
        <v>42</v>
      </c>
      <c r="E3" s="12" t="s">
        <v>43</v>
      </c>
      <c r="F3" s="12"/>
    </row>
    <row r="4" spans="1:6" ht="18.75" customHeight="1" x14ac:dyDescent="0.4">
      <c r="A4" s="13" t="s">
        <v>44</v>
      </c>
      <c r="B4" s="20" t="str">
        <f>IF(ISNUMBER(SEARCH("→ 会社退職金",入力!B18)),IF(入力!B6="DC","企業型DC","DB"),IF(ISNUMBER(SEARCH("会社退職金 →",入力!B18)),"会社退職金","要確認"))</f>
        <v>会社退職金</v>
      </c>
      <c r="C4" s="20" t="s">
        <v>45</v>
      </c>
      <c r="D4" s="13" t="s">
        <v>46</v>
      </c>
      <c r="E4" s="13"/>
      <c r="F4" s="13"/>
    </row>
    <row r="5" spans="1:6" ht="18.75" customHeight="1" x14ac:dyDescent="0.4">
      <c r="A5" s="13" t="s">
        <v>47</v>
      </c>
      <c r="B5" s="21">
        <f>IF(OR(入力!B9="",入力!B13=""),"",MIN(入力!B9,入力!B13))</f>
        <v>47634</v>
      </c>
      <c r="C5" s="21" t="s">
        <v>48</v>
      </c>
      <c r="D5" s="13" t="s">
        <v>49</v>
      </c>
      <c r="E5" s="13"/>
      <c r="F5" s="13"/>
    </row>
    <row r="6" spans="1:6" ht="18.75" customHeight="1" x14ac:dyDescent="0.4">
      <c r="A6" s="13" t="s">
        <v>50</v>
      </c>
      <c r="B6" s="21">
        <f>IF(OR(入力!B9="",入力!B13=""),"",MAX(入力!B9,入力!B13))</f>
        <v>49460</v>
      </c>
      <c r="C6" s="21" t="s">
        <v>51</v>
      </c>
      <c r="D6" s="13" t="s">
        <v>49</v>
      </c>
      <c r="E6" s="13"/>
      <c r="F6" s="13"/>
    </row>
    <row r="7" spans="1:6" ht="18.75" customHeight="1" x14ac:dyDescent="0.4">
      <c r="A7" s="13" t="s">
        <v>52</v>
      </c>
      <c r="B7" s="16">
        <f>IF(B4="企業型DC",入力!B14,IF(B4="会社退職金",入力!B10,""))</f>
        <v>1000000</v>
      </c>
      <c r="C7" s="16" t="s">
        <v>53</v>
      </c>
      <c r="D7" s="13" t="s">
        <v>49</v>
      </c>
      <c r="E7" s="13"/>
      <c r="F7" s="13"/>
    </row>
    <row r="8" spans="1:6" ht="18.75" customHeight="1" x14ac:dyDescent="0.4">
      <c r="A8" s="13" t="s">
        <v>54</v>
      </c>
      <c r="B8" s="16">
        <f>IF(B4="企業型DC",入力!B22,IF(B4="会社退職金",入力!B20,""))</f>
        <v>40</v>
      </c>
      <c r="C8" s="16" t="s">
        <v>55</v>
      </c>
      <c r="D8" s="13" t="s">
        <v>49</v>
      </c>
      <c r="E8" s="13"/>
      <c r="F8" s="13"/>
    </row>
    <row r="9" spans="1:6" ht="18.75" customHeight="1" x14ac:dyDescent="0.4">
      <c r="A9" s="13" t="s">
        <v>56</v>
      </c>
      <c r="B9" s="16">
        <f>IF(B4="企業型DC",入力!B23,IF(B4="会社退職金",入力!B21,""))</f>
        <v>22000000</v>
      </c>
      <c r="C9" s="16" t="s">
        <v>23</v>
      </c>
      <c r="D9" s="13" t="s">
        <v>57</v>
      </c>
      <c r="E9" s="13"/>
      <c r="F9" s="13"/>
    </row>
    <row r="10" spans="1:6" ht="18.75" customHeight="1" x14ac:dyDescent="0.4">
      <c r="A10" s="13" t="s">
        <v>58</v>
      </c>
      <c r="B10" s="16" t="str">
        <f>IF(B7="","",IF(B7&lt;B9,"該当","非該当"))</f>
        <v>該当</v>
      </c>
      <c r="C10" s="16" t="s">
        <v>59</v>
      </c>
      <c r="D10" s="13" t="s">
        <v>60</v>
      </c>
      <c r="E10" s="13"/>
      <c r="F10" s="13"/>
    </row>
    <row r="11" spans="1:6" ht="18.75" customHeight="1" x14ac:dyDescent="0.4">
      <c r="A11" s="13" t="s">
        <v>61</v>
      </c>
      <c r="B11" s="16">
        <f>IF(B10="該当",ROUNDDOWN(IF(B7&lt;=8000000,B7/400000,(B7-8000000)/700000+20),0),B8)</f>
        <v>2</v>
      </c>
      <c r="C11" s="16" t="s">
        <v>62</v>
      </c>
      <c r="D11" s="13" t="s">
        <v>60</v>
      </c>
      <c r="E11" s="13" t="s">
        <v>63</v>
      </c>
      <c r="F11" s="13"/>
    </row>
    <row r="12" spans="1:6" ht="37.5" customHeight="1" x14ac:dyDescent="0.4">
      <c r="A12" s="13" t="s">
        <v>24</v>
      </c>
      <c r="B12" s="16">
        <f>IF(ISNUMBER(SEARCH("→ 会社退職金",入力!B18)),入力!B15,IF(ISNUMBER(SEARCH("会社退職金 →",入力!B18)),入力!B16,""))</f>
        <v>19</v>
      </c>
      <c r="C12" s="16" t="s">
        <v>223</v>
      </c>
      <c r="D12" s="13" t="s">
        <v>64</v>
      </c>
      <c r="E12" s="13"/>
      <c r="F12" s="13"/>
    </row>
    <row r="13" spans="1:6" ht="18.75" customHeight="1" x14ac:dyDescent="0.4">
      <c r="A13" s="13" t="s">
        <v>65</v>
      </c>
      <c r="B13" s="16" t="str">
        <f>IF(OR(B5="",B6="",B12=""),"",IF(YEARFRAC(B5,B6,1)&lt;=B12,"対象","対象外"))</f>
        <v>対象</v>
      </c>
      <c r="C13" s="16" t="s">
        <v>66</v>
      </c>
      <c r="D13" s="13" t="s">
        <v>67</v>
      </c>
      <c r="E13" s="13"/>
      <c r="F13" s="13" t="s">
        <v>63</v>
      </c>
    </row>
    <row r="14" spans="1:6" ht="18.75" customHeight="1" x14ac:dyDescent="0.4">
      <c r="A14" s="13" t="s">
        <v>68</v>
      </c>
      <c r="B14" s="16" t="str">
        <f>IF(B13="対象","要計算（開始日・終了日で算定）",IF(B13="対象外",0,"要確認"))</f>
        <v>要計算（開始日・終了日で算定）</v>
      </c>
      <c r="C14" s="16" t="s">
        <v>69</v>
      </c>
      <c r="D14" s="13" t="s">
        <v>60</v>
      </c>
      <c r="E14" s="13" t="s">
        <v>70</v>
      </c>
      <c r="F14" s="13" t="s">
        <v>63</v>
      </c>
    </row>
    <row r="15" spans="1:6" ht="18.75" customHeight="1" x14ac:dyDescent="0.4">
      <c r="A15" s="13" t="s">
        <v>71</v>
      </c>
      <c r="B15" s="16" t="str">
        <f>IF(B14=0,IF(B4="企業型DC",入力!B23,入力!B21),"要計算")</f>
        <v>要計算</v>
      </c>
      <c r="C15" s="16" t="s">
        <v>72</v>
      </c>
      <c r="D15" s="13" t="s">
        <v>73</v>
      </c>
      <c r="E15" s="13" t="s">
        <v>63</v>
      </c>
      <c r="F15" s="13" t="s">
        <v>63</v>
      </c>
    </row>
    <row r="16" spans="1:6" ht="18.75" customHeight="1" x14ac:dyDescent="0.4">
      <c r="A16" s="10" t="s">
        <v>74</v>
      </c>
      <c r="B16" s="10" t="s">
        <v>75</v>
      </c>
      <c r="C16" s="10" t="s">
        <v>76</v>
      </c>
    </row>
    <row r="17" spans="1:6" ht="18.75" customHeight="1" x14ac:dyDescent="0.4">
      <c r="A17" s="10" t="s">
        <v>25</v>
      </c>
      <c r="B17" s="10" t="s">
        <v>77</v>
      </c>
    </row>
    <row r="18" spans="1:6" ht="18.75" customHeight="1" x14ac:dyDescent="0.4"/>
    <row r="19" spans="1:6" ht="18.75" customHeight="1" x14ac:dyDescent="0.4">
      <c r="A19" s="12" t="s">
        <v>78</v>
      </c>
      <c r="B19" s="98" t="s">
        <v>79</v>
      </c>
      <c r="C19" s="96"/>
      <c r="D19" s="96"/>
      <c r="E19" s="96"/>
      <c r="F19" s="96"/>
    </row>
    <row r="20" spans="1:6" ht="18.75" customHeight="1" x14ac:dyDescent="0.4">
      <c r="B20" s="96"/>
      <c r="C20" s="96"/>
      <c r="D20" s="96"/>
      <c r="E20" s="96"/>
      <c r="F20" s="96"/>
    </row>
    <row r="21" spans="1:6" ht="18.75" customHeight="1" x14ac:dyDescent="0.4">
      <c r="B21" s="96"/>
      <c r="C21" s="96"/>
      <c r="D21" s="96"/>
      <c r="E21" s="96"/>
      <c r="F21" s="96"/>
    </row>
    <row r="22" spans="1:6" ht="18.75" customHeight="1" x14ac:dyDescent="0.4"/>
    <row r="23" spans="1:6" ht="18.75" customHeight="1" x14ac:dyDescent="0.4">
      <c r="A23" s="95" t="s">
        <v>80</v>
      </c>
      <c r="B23" s="96"/>
      <c r="C23" s="96"/>
      <c r="D23" s="96"/>
    </row>
    <row r="24" spans="1:6" ht="18.75" customHeight="1" x14ac:dyDescent="0.4">
      <c r="A24" s="13" t="s">
        <v>81</v>
      </c>
      <c r="B24" s="98" t="s">
        <v>224</v>
      </c>
      <c r="C24" s="96"/>
      <c r="D24" s="96"/>
    </row>
    <row r="25" spans="1:6" ht="18.75" customHeight="1" x14ac:dyDescent="0.4">
      <c r="A25" s="13" t="s">
        <v>82</v>
      </c>
      <c r="B25" s="98" t="s">
        <v>83</v>
      </c>
      <c r="C25" s="96"/>
      <c r="D25" s="96"/>
    </row>
    <row r="26" spans="1:6" ht="18.75" customHeight="1" x14ac:dyDescent="0.4">
      <c r="A26" s="13" t="s">
        <v>26</v>
      </c>
      <c r="B26" s="98" t="s">
        <v>84</v>
      </c>
      <c r="C26" s="96"/>
      <c r="D26" s="96"/>
    </row>
    <row r="27" spans="1:6" ht="18.75" customHeight="1" x14ac:dyDescent="0.4"/>
  </sheetData>
  <sheetProtection algorithmName="SHA-512" hashValue="RL8xUoJgQXr1o0YCUzHa1TR5jGiwEormafv3pgBz5bAwpR0uYdjHMctOBkQSE8cnspnulXwIKRl4qUNlj3YcNg==" saltValue="Qor62r+Udy9XQqoKoo04LQ=="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A4" sqref="A4"/>
    </sheetView>
  </sheetViews>
  <sheetFormatPr defaultRowHeight="18.75" x14ac:dyDescent="0.4"/>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x14ac:dyDescent="0.5">
      <c r="A1" s="99" t="s">
        <v>85</v>
      </c>
      <c r="B1" s="99"/>
      <c r="C1" s="99"/>
      <c r="D1" s="99"/>
      <c r="E1" s="99"/>
      <c r="F1" s="99"/>
      <c r="G1" s="99"/>
      <c r="H1" s="99"/>
      <c r="I1" s="99"/>
      <c r="J1" s="99"/>
    </row>
    <row r="2" spans="1:43" x14ac:dyDescent="0.4">
      <c r="A2" s="11" t="s">
        <v>86</v>
      </c>
      <c r="B2" s="11"/>
      <c r="C2" s="11" t="s">
        <v>278</v>
      </c>
      <c r="AN2" s="10"/>
    </row>
    <row r="3" spans="1:43" ht="60" customHeight="1" x14ac:dyDescent="0.4">
      <c r="A3" s="22" t="s">
        <v>87</v>
      </c>
      <c r="B3" s="22" t="s">
        <v>198</v>
      </c>
      <c r="C3" s="22" t="s">
        <v>88</v>
      </c>
      <c r="D3" s="22" t="s">
        <v>89</v>
      </c>
      <c r="E3" s="22" t="s">
        <v>90</v>
      </c>
      <c r="F3" s="22" t="s">
        <v>8</v>
      </c>
      <c r="G3" s="22" t="s">
        <v>14</v>
      </c>
      <c r="H3" s="22" t="s">
        <v>91</v>
      </c>
      <c r="I3" s="22" t="s">
        <v>92</v>
      </c>
      <c r="J3" s="22" t="s">
        <v>93</v>
      </c>
      <c r="K3" s="22" t="s">
        <v>199</v>
      </c>
      <c r="L3" s="23" t="s">
        <v>204</v>
      </c>
      <c r="M3" s="23" t="s">
        <v>200</v>
      </c>
      <c r="N3" s="23" t="s">
        <v>94</v>
      </c>
      <c r="O3" s="23" t="s">
        <v>95</v>
      </c>
      <c r="P3" s="23" t="s">
        <v>96</v>
      </c>
      <c r="Q3" s="23" t="s">
        <v>97</v>
      </c>
      <c r="R3" s="23" t="s">
        <v>203</v>
      </c>
      <c r="S3" s="23" t="s">
        <v>98</v>
      </c>
      <c r="T3" s="23" t="s">
        <v>99</v>
      </c>
      <c r="U3" s="23" t="s">
        <v>100</v>
      </c>
      <c r="V3" s="23" t="s">
        <v>205</v>
      </c>
      <c r="W3" s="23" t="s">
        <v>101</v>
      </c>
      <c r="X3" s="23" t="s">
        <v>102</v>
      </c>
      <c r="Y3" s="23" t="s">
        <v>206</v>
      </c>
      <c r="Z3" s="23" t="s">
        <v>103</v>
      </c>
      <c r="AA3" s="23" t="s">
        <v>104</v>
      </c>
      <c r="AB3" s="23" t="s">
        <v>105</v>
      </c>
      <c r="AC3" s="23" t="s">
        <v>106</v>
      </c>
      <c r="AD3" s="23" t="s">
        <v>107</v>
      </c>
      <c r="AE3" s="23" t="s">
        <v>108</v>
      </c>
      <c r="AF3" s="23" t="s">
        <v>109</v>
      </c>
      <c r="AG3" s="23" t="s">
        <v>110</v>
      </c>
      <c r="AH3" s="23" t="s">
        <v>197</v>
      </c>
      <c r="AI3" s="23" t="s">
        <v>120</v>
      </c>
      <c r="AJ3" s="23" t="s">
        <v>122</v>
      </c>
      <c r="AK3" s="23" t="s">
        <v>111</v>
      </c>
      <c r="AL3" s="23" t="s">
        <v>137</v>
      </c>
      <c r="AM3" s="23" t="s">
        <v>112</v>
      </c>
      <c r="AN3" s="23" t="s">
        <v>113</v>
      </c>
      <c r="AO3" s="23" t="s">
        <v>106</v>
      </c>
      <c r="AP3" s="23" t="s">
        <v>114</v>
      </c>
      <c r="AQ3" s="23" t="s">
        <v>202</v>
      </c>
    </row>
    <row r="4" spans="1:43" ht="18.75" customHeight="1" x14ac:dyDescent="0.4">
      <c r="A4" s="24">
        <v>1</v>
      </c>
      <c r="B4" s="5">
        <v>47664</v>
      </c>
      <c r="C4" s="5">
        <v>47664</v>
      </c>
      <c r="D4" s="25">
        <f>入力!$B$9</f>
        <v>47634</v>
      </c>
      <c r="E4" s="26">
        <f>入力!$B$14</f>
        <v>25000000</v>
      </c>
      <c r="F4" s="26">
        <f>入力!$B$10</f>
        <v>1000000</v>
      </c>
      <c r="G4" s="27" t="str">
        <f>IF(OR(C4="",D4=""),"",IF(YEAR(C4)=YEAR(D4),"同年受取",IF(C4&lt;D4,入力!$B$6&amp;" → 会社退職金","会社退職金 → "&amp;入力!$B$6)))</f>
        <v>同年受取</v>
      </c>
      <c r="H4" s="27" t="str">
        <f>IF(
  OR(G4="同年受取",G4=""),
  "",
  IF(
    ISNUMBER(SEARCH("→ 会社退職金",G4)),
    入力!$B$15,
    IF(
      ISNUMBER(SEARCH("会社退職金 →",G4)),
      入力!$B$16,
      ""
    )
  )
)</f>
        <v/>
      </c>
      <c r="I4" s="27" t="str">
        <f t="shared" ref="I4:I13" si="0">IF(G4="同年受取","同年合算",IF(G4="","",IF(AND(MIN(C4,D4)&lt;DATE(YEAR(MAX(C4,D4)),1,1),MIN(C4,D4)&gt;=DATE(YEAR(MAX(C4,D4))-H4,1,1)),"対象","対象外")))</f>
        <v>同年合算</v>
      </c>
      <c r="J4" s="26" t="str">
        <f t="shared" ref="J4:J13" si="1">IF(G4="同年受取","",IF(ISNUMBER(SEARCH(" → 会社退職金",G4)),E4,IF(ISNUMBER(SEARCH("会社退職金 → ",G4)),F4,"")))</f>
        <v/>
      </c>
      <c r="K4" s="26" t="str">
        <f>IF(G4="同年受取","",
 IF(ISNUMBER(SEARCH(" → 会社退職金",G4)),
   _xlfn.LET(
     _xlpm.DC開始,入力!$B$11,
     _xlpm.DC終了,B4,
     _xlpm.年数,IF(DATEDIF(_xlpm.DC開始,_xlpm.DC終了+1,"M")=0,1,CEILING(DATEDIF(_xlpm.DC開始,_xlpm.DC終了+1,"M")/12,1)),
     IF(_xlpm.年数&lt;=20,MAX(400000*_xlpm.年数,800000),8000000+700000*(_xlpm.年数-20))
   ),
 IF(ISNUMBER(SEARCH("会社退職金 → ",G4)),
   _xlfn.LET(
     _xlpm.会社控除額,入力!$B$21,
     _xlpm.会社控除額
   ),
 "")))</f>
        <v/>
      </c>
      <c r="L4" s="28" t="str">
        <f t="shared" ref="L4:L13" si="2">IF(OR(J4="",K4=""),"",IF(J4&lt;K4,"該当","非該当"))</f>
        <v/>
      </c>
      <c r="M4" s="29" t="str">
        <f>_xlfn.LET(
 _xlpm.前退,J4,
 _xlpm.前控,K4,
 _xlpm.会勤年,入力!$B$20,
 IF(G4="同年受取","",
   IF(OR(_xlpm.前退="",_xlpm.前控=""),"",
     IF(_xlpm.前退&lt;_xlpm.前控,
       ROUNDDOWN(IF(_xlpm.前退&lt;=8000000,_xlpm.前退/400000,(_xlpm.前退-8000000)/700000+20),0),
       IF(ISNUMBER(SEARCH("→ 会社退職金",G4)),
         _xlfn.LET(
           _xlpm.DC開始,入力!$B$11,
           _xlpm.DC終了,B4,
           DATEDIF(_xlpm.DC開始,_xlpm.DC終了+1,"Y")
           +IF(DATEDIF(_xlpm.DC開始,_xlpm.DC終了+1,"YD")&gt;0,1,0)
         ),
         IF(ISNUMBER(SEARCH("会社退職金 →",G4)),
           _xlpm.会勤年,
           ""
         )
       )
     )
   )
 )
)</f>
        <v/>
      </c>
      <c r="N4" s="30" t="str">
        <f>IF(
  G4="同年受取",
  "",
  IF(
    I4&lt;&gt;"対象",
    "",
    MAX(
      IF(ISNUMBER(SEARCH("→ 会社退職金",G4)),入力!$B$11,入力!$B$7),
      IF(ISNUMBER(SEARCH("→ 会社退職金",G4)),入力!$B$7,入力!$B$11)
    )
  )
)</f>
        <v/>
      </c>
      <c r="O4" s="30" t="str">
        <f>_xlfn.LET(
  _xlpm.受取順,G4,
  _xlpm.対象,I4,
  _xlpm.前退,J4,
  _xlpm.前控,K4,
  _xlpm.前換算年,M4,
  _xlpm.会社開始,入力!$B$7,
  _xlpm.会社終了,入力!$B$8,
  _xlpm.対象制度開始,入力!$B$11,
  _xlpm.対象制度終了,B4,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
      </c>
      <c r="P4" s="29" t="str">
        <f t="shared" ref="P4:P13" si="3">_xlfn.LET(
  _xlpm.重複開始,N4,
  _xlpm.重複終了,O4,
  IF(
    G4="同年受取",
    "",
    IF(
      OR(_xlpm.重複開始="",_xlpm.重複終了="",_xlpm.重複開始&gt;_xlpm.重複終了),
      0,
      DATEDIF(_xlpm.重複開始,_xlpm.重複終了+1,"Y")
    )
  )
)</f>
        <v/>
      </c>
      <c r="Q4" s="28" t="str">
        <f>IF(G4="同年受取","",
_xlfn.LET(
_xlpm.受取順,G4,
_xlpm.実重複年,P4,
_xlpm.会社本来控除,入力!$B$21,
_xlpm.重複控除,IF(
_xlpm.実重複年&lt;=20,
MAX(800000,400000*_xlpm.実重複年),
8000000+700000*(_xlpm.実重複年-20)
),
IF(
ISNUMBER(SEARCH("→ 会社退職金",_xlpm.受取順)),
IF(
I4="対象",
MAX(0,_xlpm.会社本来控除-_xlpm.重複控除),
_xlpm.会社本来控除
),
_xlpm.会社本来控除
)
))</f>
        <v/>
      </c>
      <c r="R4" s="28" t="str">
        <f>IF(G4="同年受取","",
 _xlfn.LET(
  _xlpm.受取順,G4,
  _xlpm.DC開始,入力!$B$11,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I4="対象",
    MAX(0,_xlpm.DC本来控除-_xlpm.重複控除),
    _xlpm.DC本来控除
   ),
   _xlpm.DC本来控除
  )
 )
)</f>
        <v/>
      </c>
      <c r="S4" s="28" t="str">
        <f t="shared" ref="S4:S13" si="4">IF(G4="同年受取","",IF(OR(G4="",G4="同日受取：要確認"),"",ROUNDDOWN(MAX(0,(F4-Q4)/2),-3)))</f>
        <v/>
      </c>
      <c r="T4" s="28" t="str">
        <f t="shared" ref="T4:T13" si="5">IF(G4="同年受取","",IF(OR(G4="",G4="同日受取：要確認"),"",ROUNDDOWN(MAX(0,(E4-R4)/2),-3)))</f>
        <v/>
      </c>
      <c r="U4" s="31" t="str">
        <f>IF(OR(G4="同年受取",S4=""),"",VLOOKUP(S4,税率表!$A$2:$C$8,2,TRUE))</f>
        <v/>
      </c>
      <c r="V4" s="28" t="str">
        <f>IF(U4="","",VLOOKUP(S4,税率表!$A$2:$C$8,3,TRUE))</f>
        <v/>
      </c>
      <c r="W4" s="28" t="str">
        <f t="shared" ref="W4:W13" si="6">IF(U4="","",ROUNDDOWN(MAX(0,S4*U4-V4)*1.021,0))</f>
        <v/>
      </c>
      <c r="X4" s="31" t="str">
        <f>IF(OR(G4="同年受取",T4=""),"",VLOOKUP(T4,税率表!$A$2:$C$8,2,TRUE))</f>
        <v/>
      </c>
      <c r="Y4" s="28" t="str">
        <f>IF(X4="","",VLOOKUP(T4,税率表!$A$2:$C$8,3,TRUE))</f>
        <v/>
      </c>
      <c r="Z4" s="28" t="str">
        <f t="shared" ref="Z4:Z13" si="7">IF(X4="","",ROUNDDOWN(MAX(0,T4*X4-Y4)*1.021,0))</f>
        <v/>
      </c>
      <c r="AA4" s="28" t="str">
        <f t="shared" ref="AA4:AA13" si="8">IF(G4="同年受取","",IF(S4="","",ROUNDDOWN(S4*10%,0)))</f>
        <v/>
      </c>
      <c r="AB4" s="28" t="str">
        <f t="shared" ref="AB4:AB13" si="9">IF(G4="同年受取","",IF(T4="","",ROUNDDOWN(T4*10%,0)))</f>
        <v/>
      </c>
      <c r="AC4" s="28" t="str">
        <f t="shared" ref="AC4:AC13" si="10">IF(G4="同年受取","",IF(OR(W4="",Z4=""),"",SUM(W4,Z4,AA4,AB4)))</f>
        <v/>
      </c>
      <c r="AD4" s="28" t="str">
        <f t="shared" ref="AD4:AD13" si="11">IF(G4="同年受取","",IF(AC4="","",E4+F4-AC4))</f>
        <v/>
      </c>
      <c r="AE4" s="32" t="str">
        <f t="shared" ref="AE4:AE13" si="12">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No.2735：同年の退職手当等を合算し、2制度の勤続期間を統合して退職所得控除額を計算</v>
      </c>
      <c r="AF4" s="32" t="str">
        <f t="shared" ref="AF4:AF13" si="13">IF(OR(J4="",K4="",G4="同年受取"),"",ROUNDDOWN(IF(J4&lt;=8000000,J4/400000,(J4-8000000)/700000+20),0))</f>
        <v/>
      </c>
      <c r="AG4" s="32" t="str">
        <f>IF(
  OR(J4="",K4="",G4="同年受取"),
  "",
  IF(
    J4&lt;K4,
    AF4,
    IF(
      ISNUMBER(SEARCH("→ 会社退職金",G4)),
      入力!$B$22,
      入力!$B$20
    )
  )
)</f>
        <v/>
      </c>
      <c r="AH4" s="33">
        <f>IF(G4&lt;&gt;"同年受取","",_xlfn.LET(
_xlpm.A開始,入力!$B$7,
_xlpm.A終了,入力!$B$8,
_xlpm.B開始,入力!$B$11,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40</v>
      </c>
      <c r="AI4" s="34">
        <f t="shared" ref="AI4:AI13" si="14">IF(G4&lt;&gt;"同年受取","",IF(AH4&lt;=20,MAX(400000*AH4,800000),8000000+700000*(AH4-20)))</f>
        <v>22000000</v>
      </c>
      <c r="AJ4" s="34">
        <f t="shared" ref="AJ4:AJ13" si="15">IF(G4&lt;&gt;"同年受取","",MAX(0,FLOOR((E4+F4-AI4)/2,1000)))</f>
        <v>2000000</v>
      </c>
      <c r="AK4" s="35">
        <f t="shared" ref="AK4:AK13" si="16">IF(G4&lt;&gt;"同年受取","",VLOOKUP(AJ4,tabletax,3,TRUE))</f>
        <v>0.1</v>
      </c>
      <c r="AL4" s="34">
        <f t="shared" ref="AL4:AL13" si="17">IF(G4&lt;&gt;"同年受取","",VLOOKUP(AJ4,tabletax,4,TRUE))</f>
        <v>97500</v>
      </c>
      <c r="AM4" s="34">
        <f t="shared" ref="AM4:AM13" si="18">IF(G4&lt;&gt;"同年受取","",FLOOR((AJ4*AK4-AL4)*1.021,1))</f>
        <v>104652</v>
      </c>
      <c r="AN4" s="34">
        <f t="shared" ref="AN4:AN13" si="19">IF(G4&lt;&gt;"同年受取","",FLOOR(AJ4*0.1,100))</f>
        <v>200000</v>
      </c>
      <c r="AO4" s="34">
        <f t="shared" ref="AO4:AO13" si="20">IF(G4&lt;&gt;"同年受取","",AM4+AN4)</f>
        <v>304652</v>
      </c>
      <c r="AP4" s="34">
        <f t="shared" ref="AP4:AP13" si="21">IF(G4&lt;&gt;"同年受取","",IF(AM4="","",E4+F4-AO4))</f>
        <v>25695348</v>
      </c>
      <c r="AQ4" s="34">
        <f t="shared" ref="AQ4:AQ13" si="22">IF(AD4&lt;&gt;"",AD4,IF(AP4&lt;&gt;"",AP4))</f>
        <v>25695348</v>
      </c>
    </row>
    <row r="5" spans="1:43" ht="18.75" customHeight="1" x14ac:dyDescent="0.4">
      <c r="A5" s="24">
        <v>2</v>
      </c>
      <c r="B5" s="5">
        <v>48029</v>
      </c>
      <c r="C5" s="5">
        <v>48029</v>
      </c>
      <c r="D5" s="25">
        <f>入力!$B$9</f>
        <v>47634</v>
      </c>
      <c r="E5" s="26">
        <f>入力!$B$14</f>
        <v>25000000</v>
      </c>
      <c r="F5" s="26">
        <f>入力!$B$10</f>
        <v>1000000</v>
      </c>
      <c r="G5" s="27" t="str">
        <f>IF(OR(C5="",D5=""),"",IF(YEAR(C5)=YEAR(D5),"同年受取",IF(C5&lt;D5,入力!$B$6&amp;" → 会社退職金","会社退職金 → "&amp;入力!$B$6)))</f>
        <v>会社退職金 → DC</v>
      </c>
      <c r="H5" s="27">
        <f>IF(
  OR(G5="同年受取",G5=""),
  "",
  IF(
    ISNUMBER(SEARCH("→ 会社退職金",G5)),
    入力!$B$15,
    IF(
      ISNUMBER(SEARCH("会社退職金 →",G5)),
      入力!$B$16,
      ""
    )
  )
)</f>
        <v>19</v>
      </c>
      <c r="I5" s="27" t="str">
        <f t="shared" si="0"/>
        <v>対象</v>
      </c>
      <c r="J5" s="26">
        <f t="shared" si="1"/>
        <v>1000000</v>
      </c>
      <c r="K5" s="26">
        <f>IF(G5="同年受取","",
 IF(ISNUMBER(SEARCH(" → 会社退職金",G5)),
   _xlfn.LET(
     _xlpm.DC開始,入力!$B$11,
     _xlpm.DC終了,B5,
     _xlpm.年数,IF(DATEDIF(_xlpm.DC開始,_xlpm.DC終了+1,"M")=0,1,CEILING(DATEDIF(_xlpm.DC開始,_xlpm.DC終了+1,"M")/12,1)),
     IF(_xlpm.年数&lt;=20,MAX(400000*_xlpm.年数,800000),8000000+700000*(_xlpm.年数-20))
   ),
 IF(ISNUMBER(SEARCH("会社退職金 → ",G5)),
   _xlfn.LET(
     _xlpm.会社控除額,入力!$B$21,
     _xlpm.会社控除額
   ),
 "")))</f>
        <v>22000000</v>
      </c>
      <c r="L5" s="28" t="str">
        <f t="shared" si="2"/>
        <v>該当</v>
      </c>
      <c r="M5" s="29">
        <f>_xlfn.LET(
 _xlpm.前退,J5,
 _xlpm.前控,K5,
 _xlpm.会勤年,入力!$B$20,
 IF(G5="同年受取","",
   IF(OR(_xlpm.前退="",_xlpm.前控=""),"",
     IF(_xlpm.前退&lt;_xlpm.前控,
       ROUNDDOWN(IF(_xlpm.前退&lt;=8000000,_xlpm.前退/400000,(_xlpm.前退-8000000)/700000+20),0),
       IF(ISNUMBER(SEARCH("→ 会社退職金",G5)),
         _xlfn.LET(
           _xlpm.DC開始,入力!$B$11,
           _xlpm.DC終了,B5,
           DATEDIF(_xlpm.DC開始,_xlpm.DC終了+1,"Y")
           +IF(DATEDIF(_xlpm.DC開始,_xlpm.DC終了+1,"YD")&gt;0,1,0)
         ),
         IF(ISNUMBER(SEARCH("会社退職金 →",G5)),
           _xlpm.会勤年,
           ""
         )
       )
     )
   )
 )
)</f>
        <v>2</v>
      </c>
      <c r="N5" s="30">
        <f>IF(
  G5="同年受取",
  "",
  IF(
    I5&lt;&gt;"対象",
    "",
    MAX(
      IF(ISNUMBER(SEARCH("→ 会社退職金",G5)),入力!$B$11,入力!$B$7),
      IF(ISNUMBER(SEARCH("→ 会社退職金",G5)),入力!$B$7,入力!$B$11)
    )
  )
)</f>
        <v>36982</v>
      </c>
      <c r="O5" s="30">
        <f>_xlfn.LET(
  _xlpm.受取順,G5,
  _xlpm.対象,I5,
  _xlpm.前退,J5,
  _xlpm.前控,K5,
  _xlpm.前換算年,M5,
  _xlpm.会社開始,入力!$B$7,
  _xlpm.会社終了,入力!$B$8,
  _xlpm.対象制度開始,入力!$B$11,
  _xlpm.対象制度終了,B5,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5" s="29">
        <f t="shared" si="3"/>
        <v>0</v>
      </c>
      <c r="Q5" s="28">
        <f>IF(G5="同年受取","",
_xlfn.LET(
_xlpm.受取順,G5,
_xlpm.実重複年,P5,
_xlpm.会社本来控除,入力!$B$21,
_xlpm.重複控除,IF(
_xlpm.実重複年&lt;=20,
MAX(800000,400000*_xlpm.実重複年),
8000000+700000*(_xlpm.実重複年-20)
),
IF(
ISNUMBER(SEARCH("→ 会社退職金",_xlpm.受取順)),
IF(
I5="対象",
MAX(0,_xlpm.会社本来控除-_xlpm.重複控除),
_xlpm.会社本来控除
),
_xlpm.会社本来控除
)
))</f>
        <v>22000000</v>
      </c>
      <c r="R5" s="28">
        <f>IF(G5="同年受取","",
 _xlfn.LET(
  _xlpm.受取順,G5,
  _xlpm.DC開始,入力!$B$11,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I5="対象",
    MAX(0,_xlpm.DC本来控除-_xlpm.重複控除),
    _xlpm.DC本来控除
   ),
   _xlpm.DC本来控除
  )
 )
)</f>
        <v>15700000</v>
      </c>
      <c r="S5" s="28">
        <f t="shared" si="4"/>
        <v>0</v>
      </c>
      <c r="T5" s="28">
        <f t="shared" si="5"/>
        <v>4650000</v>
      </c>
      <c r="U5" s="31">
        <f>IF(OR(G5="同年受取",S5=""),"",VLOOKUP(S5,税率表!$A$2:$C$8,2,TRUE))</f>
        <v>0.05</v>
      </c>
      <c r="V5" s="28">
        <f>IF(U5="","",VLOOKUP(S5,税率表!$A$2:$C$8,3,TRUE))</f>
        <v>0</v>
      </c>
      <c r="W5" s="28">
        <f t="shared" si="6"/>
        <v>0</v>
      </c>
      <c r="X5" s="31">
        <f>IF(OR(G5="同年受取",T5=""),"",VLOOKUP(T5,税率表!$A$2:$C$8,2,TRUE))</f>
        <v>0.2</v>
      </c>
      <c r="Y5" s="28">
        <f>IF(X5="","",VLOOKUP(T5,税率表!$A$2:$C$8,3,TRUE))</f>
        <v>427500</v>
      </c>
      <c r="Z5" s="28">
        <f t="shared" si="7"/>
        <v>513052</v>
      </c>
      <c r="AA5" s="28">
        <f t="shared" si="8"/>
        <v>0</v>
      </c>
      <c r="AB5" s="28">
        <f t="shared" si="9"/>
        <v>465000</v>
      </c>
      <c r="AC5" s="28">
        <f t="shared" si="10"/>
        <v>978052</v>
      </c>
      <c r="AD5" s="28">
        <f t="shared" si="11"/>
        <v>25021948</v>
      </c>
      <c r="AE5" s="32" t="str">
        <f t="shared" si="12"/>
        <v>No.2732：確認期間→前の金額/控除→換算年数→重複年度→後の控除調整→課税退職所得→税額</v>
      </c>
      <c r="AF5" s="32">
        <f t="shared" si="13"/>
        <v>2</v>
      </c>
      <c r="AG5" s="32">
        <f>IF(
  OR(J5="",K5="",G5="同年受取"),
  "",
  IF(
    J5&lt;K5,
    AF5,
    IF(
      ISNUMBER(SEARCH("→ 会社退職金",G5)),
      入力!$B$22,
      入力!$B$20
    )
  )
)</f>
        <v>2</v>
      </c>
      <c r="AH5" s="33" t="str">
        <f>IF(G5&lt;&gt;"同年受取","",_xlfn.LET(
_xlpm.A開始,入力!$B$7,
_xlpm.A終了,入力!$B$8,
_xlpm.B開始,入力!$B$11,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4" t="str">
        <f t="shared" si="14"/>
        <v/>
      </c>
      <c r="AJ5" s="34" t="str">
        <f t="shared" si="15"/>
        <v/>
      </c>
      <c r="AK5" s="35" t="str">
        <f t="shared" si="16"/>
        <v/>
      </c>
      <c r="AL5" s="34" t="str">
        <f t="shared" si="17"/>
        <v/>
      </c>
      <c r="AM5" s="34" t="str">
        <f t="shared" si="18"/>
        <v/>
      </c>
      <c r="AN5" s="34" t="str">
        <f t="shared" si="19"/>
        <v/>
      </c>
      <c r="AO5" s="34" t="str">
        <f t="shared" si="20"/>
        <v/>
      </c>
      <c r="AP5" s="34" t="str">
        <f t="shared" si="21"/>
        <v/>
      </c>
      <c r="AQ5" s="34">
        <f t="shared" si="22"/>
        <v>25021948</v>
      </c>
    </row>
    <row r="6" spans="1:43" ht="18.75" customHeight="1" x14ac:dyDescent="0.4">
      <c r="A6" s="24">
        <v>3</v>
      </c>
      <c r="B6" s="5">
        <v>48395</v>
      </c>
      <c r="C6" s="5">
        <v>48395</v>
      </c>
      <c r="D6" s="25">
        <f>入力!$B$9</f>
        <v>47634</v>
      </c>
      <c r="E6" s="26">
        <f>入力!$B$14</f>
        <v>25000000</v>
      </c>
      <c r="F6" s="26">
        <f>入力!$B$10</f>
        <v>1000000</v>
      </c>
      <c r="G6" s="27" t="str">
        <f>IF(OR(C6="",D6=""),"",IF(YEAR(C6)=YEAR(D6),"同年受取",IF(C6&lt;D6,入力!$B$6&amp;" → 会社退職金","会社退職金 → "&amp;入力!$B$6)))</f>
        <v>会社退職金 → DC</v>
      </c>
      <c r="H6" s="27">
        <f>IF(
  OR(G6="同年受取",G6=""),
  "",
  IF(
    ISNUMBER(SEARCH("→ 会社退職金",G6)),
    入力!$B$15,
    IF(
      ISNUMBER(SEARCH("会社退職金 →",G6)),
      入力!$B$16,
      ""
    )
  )
)</f>
        <v>19</v>
      </c>
      <c r="I6" s="27" t="str">
        <f t="shared" si="0"/>
        <v>対象</v>
      </c>
      <c r="J6" s="26">
        <f t="shared" si="1"/>
        <v>1000000</v>
      </c>
      <c r="K6" s="26">
        <f>IF(G6="同年受取","",
 IF(ISNUMBER(SEARCH(" → 会社退職金",G6)),
   _xlfn.LET(
     _xlpm.DC開始,入力!$B$11,
     _xlpm.DC終了,B6,
     _xlpm.年数,IF(DATEDIF(_xlpm.DC開始,_xlpm.DC終了+1,"M")=0,1,CEILING(DATEDIF(_xlpm.DC開始,_xlpm.DC終了+1,"M")/12,1)),
     IF(_xlpm.年数&lt;=20,MAX(400000*_xlpm.年数,800000),8000000+700000*(_xlpm.年数-20))
   ),
 IF(ISNUMBER(SEARCH("会社退職金 → ",G6)),
   _xlfn.LET(
     _xlpm.会社控除額,入力!$B$21,
     _xlpm.会社控除額
   ),
 "")))</f>
        <v>22000000</v>
      </c>
      <c r="L6" s="28" t="str">
        <f t="shared" si="2"/>
        <v>該当</v>
      </c>
      <c r="M6" s="29">
        <f>_xlfn.LET(
 _xlpm.前退,J6,
 _xlpm.前控,K6,
 _xlpm.会勤年,入力!$B$20,
 IF(G6="同年受取","",
   IF(OR(_xlpm.前退="",_xlpm.前控=""),"",
     IF(_xlpm.前退&lt;_xlpm.前控,
       ROUNDDOWN(IF(_xlpm.前退&lt;=8000000,_xlpm.前退/400000,(_xlpm.前退-8000000)/700000+20),0),
       IF(ISNUMBER(SEARCH("→ 会社退職金",G6)),
         _xlfn.LET(
           _xlpm.DC開始,入力!$B$11,
           _xlpm.DC終了,B6,
           DATEDIF(_xlpm.DC開始,_xlpm.DC終了+1,"Y")
           +IF(DATEDIF(_xlpm.DC開始,_xlpm.DC終了+1,"YD")&gt;0,1,0)
         ),
         IF(ISNUMBER(SEARCH("会社退職金 →",G6)),
           _xlpm.会勤年,
           ""
         )
       )
     )
   )
 )
)</f>
        <v>2</v>
      </c>
      <c r="N6" s="30">
        <f>IF(
  G6="同年受取",
  "",
  IF(
    I6&lt;&gt;"対象",
    "",
    MAX(
      IF(ISNUMBER(SEARCH("→ 会社退職金",G6)),入力!$B$11,入力!$B$7),
      IF(ISNUMBER(SEARCH("→ 会社退職金",G6)),入力!$B$7,入力!$B$11)
    )
  )
)</f>
        <v>36982</v>
      </c>
      <c r="O6" s="30">
        <f>_xlfn.LET(
  _xlpm.受取順,G6,
  _xlpm.対象,I6,
  _xlpm.前退,J6,
  _xlpm.前控,K6,
  _xlpm.前換算年,M6,
  _xlpm.会社開始,入力!$B$7,
  _xlpm.会社終了,入力!$B$8,
  _xlpm.対象制度開始,入力!$B$11,
  _xlpm.対象制度終了,B6,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6" s="29">
        <f t="shared" si="3"/>
        <v>0</v>
      </c>
      <c r="Q6" s="28">
        <f>IF(G6="同年受取","",
_xlfn.LET(
_xlpm.受取順,G6,
_xlpm.実重複年,P6,
_xlpm.会社本来控除,入力!$B$21,
_xlpm.重複控除,IF(
_xlpm.実重複年&lt;=20,
MAX(800000,400000*_xlpm.実重複年),
8000000+700000*(_xlpm.実重複年-20)
),
IF(
ISNUMBER(SEARCH("→ 会社退職金",_xlpm.受取順)),
IF(
I6="対象",
MAX(0,_xlpm.会社本来控除-_xlpm.重複控除),
_xlpm.会社本来控除
),
_xlpm.会社本来控除
)
))</f>
        <v>22000000</v>
      </c>
      <c r="R6" s="28">
        <f>IF(G6="同年受取","",
 _xlfn.LET(
  _xlpm.受取順,G6,
  _xlpm.DC開始,入力!$B$11,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I6="対象",
    MAX(0,_xlpm.DC本来控除-_xlpm.重複控除),
    _xlpm.DC本来控除
   ),
   _xlpm.DC本来控除
  )
 )
)</f>
        <v>16400000</v>
      </c>
      <c r="S6" s="28">
        <f t="shared" si="4"/>
        <v>0</v>
      </c>
      <c r="T6" s="28">
        <f t="shared" si="5"/>
        <v>4300000</v>
      </c>
      <c r="U6" s="31">
        <f>IF(OR(G6="同年受取",S6=""),"",VLOOKUP(S6,税率表!$A$2:$C$8,2,TRUE))</f>
        <v>0.05</v>
      </c>
      <c r="V6" s="28">
        <f>IF(U6="","",VLOOKUP(S6,税率表!$A$2:$C$8,3,TRUE))</f>
        <v>0</v>
      </c>
      <c r="W6" s="28">
        <f t="shared" si="6"/>
        <v>0</v>
      </c>
      <c r="X6" s="31">
        <f>IF(OR(G6="同年受取",T6=""),"",VLOOKUP(T6,税率表!$A$2:$C$8,2,TRUE))</f>
        <v>0.2</v>
      </c>
      <c r="Y6" s="28">
        <f>IF(X6="","",VLOOKUP(T6,税率表!$A$2:$C$8,3,TRUE))</f>
        <v>427500</v>
      </c>
      <c r="Z6" s="28">
        <f t="shared" si="7"/>
        <v>441582</v>
      </c>
      <c r="AA6" s="28">
        <f t="shared" si="8"/>
        <v>0</v>
      </c>
      <c r="AB6" s="28">
        <f t="shared" si="9"/>
        <v>430000</v>
      </c>
      <c r="AC6" s="28">
        <f t="shared" si="10"/>
        <v>871582</v>
      </c>
      <c r="AD6" s="28">
        <f t="shared" si="11"/>
        <v>25128418</v>
      </c>
      <c r="AE6" s="32" t="str">
        <f t="shared" si="12"/>
        <v>No.2732：確認期間→前の金額/控除→換算年数→重複年度→後の控除調整→課税退職所得→税額</v>
      </c>
      <c r="AF6" s="32">
        <f t="shared" si="13"/>
        <v>2</v>
      </c>
      <c r="AG6" s="32">
        <f>IF(
  OR(J6="",K6="",G6="同年受取"),
  "",
  IF(
    J6&lt;K6,
    AF6,
    IF(
      ISNUMBER(SEARCH("→ 会社退職金",G6)),
      入力!$B$22,
      入力!$B$20
    )
  )
)</f>
        <v>2</v>
      </c>
      <c r="AH6" s="33" t="str">
        <f>IF(G6&lt;&gt;"同年受取","",_xlfn.LET(
_xlpm.A開始,入力!$B$7,
_xlpm.A終了,入力!$B$8,
_xlpm.B開始,入力!$B$11,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4" t="str">
        <f t="shared" si="14"/>
        <v/>
      </c>
      <c r="AJ6" s="34" t="str">
        <f t="shared" si="15"/>
        <v/>
      </c>
      <c r="AK6" s="35" t="str">
        <f t="shared" si="16"/>
        <v/>
      </c>
      <c r="AL6" s="34" t="str">
        <f t="shared" si="17"/>
        <v/>
      </c>
      <c r="AM6" s="34" t="str">
        <f t="shared" si="18"/>
        <v/>
      </c>
      <c r="AN6" s="34" t="str">
        <f t="shared" si="19"/>
        <v/>
      </c>
      <c r="AO6" s="34" t="str">
        <f t="shared" si="20"/>
        <v/>
      </c>
      <c r="AP6" s="34" t="str">
        <f t="shared" si="21"/>
        <v/>
      </c>
      <c r="AQ6" s="34">
        <f t="shared" si="22"/>
        <v>25128418</v>
      </c>
    </row>
    <row r="7" spans="1:43" ht="18.75" customHeight="1" x14ac:dyDescent="0.4">
      <c r="A7" s="24">
        <v>4</v>
      </c>
      <c r="B7" s="5">
        <v>48760</v>
      </c>
      <c r="C7" s="5">
        <v>48760</v>
      </c>
      <c r="D7" s="25">
        <f>入力!$B$9</f>
        <v>47634</v>
      </c>
      <c r="E7" s="26">
        <f>入力!$B$14</f>
        <v>25000000</v>
      </c>
      <c r="F7" s="26">
        <f>入力!$B$10</f>
        <v>1000000</v>
      </c>
      <c r="G7" s="27" t="str">
        <f>IF(OR(C7="",D7=""),"",IF(YEAR(C7)=YEAR(D7),"同年受取",IF(C7&lt;D7,入力!$B$6&amp;" → 会社退職金","会社退職金 → "&amp;入力!$B$6)))</f>
        <v>会社退職金 → DC</v>
      </c>
      <c r="H7" s="27">
        <f>IF(
  OR(G7="同年受取",G7=""),
  "",
  IF(
    ISNUMBER(SEARCH("→ 会社退職金",G7)),
    入力!$B$15,
    IF(
      ISNUMBER(SEARCH("会社退職金 →",G7)),
      入力!$B$16,
      ""
    )
  )
)</f>
        <v>19</v>
      </c>
      <c r="I7" s="27" t="str">
        <f t="shared" si="0"/>
        <v>対象</v>
      </c>
      <c r="J7" s="26">
        <f t="shared" si="1"/>
        <v>1000000</v>
      </c>
      <c r="K7" s="26">
        <f>IF(G7="同年受取","",
 IF(ISNUMBER(SEARCH(" → 会社退職金",G7)),
   _xlfn.LET(
     _xlpm.DC開始,入力!$B$11,
     _xlpm.DC終了,B7,
     _xlpm.年数,IF(DATEDIF(_xlpm.DC開始,_xlpm.DC終了+1,"M")=0,1,CEILING(DATEDIF(_xlpm.DC開始,_xlpm.DC終了+1,"M")/12,1)),
     IF(_xlpm.年数&lt;=20,MAX(400000*_xlpm.年数,800000),8000000+700000*(_xlpm.年数-20))
   ),
 IF(ISNUMBER(SEARCH("会社退職金 → ",G7)),
   _xlfn.LET(
     _xlpm.会社控除額,入力!$B$21,
     _xlpm.会社控除額
   ),
 "")))</f>
        <v>22000000</v>
      </c>
      <c r="L7" s="28" t="str">
        <f t="shared" si="2"/>
        <v>該当</v>
      </c>
      <c r="M7" s="29">
        <f>_xlfn.LET(
 _xlpm.前退,J7,
 _xlpm.前控,K7,
 _xlpm.会勤年,入力!$B$20,
 IF(G7="同年受取","",
   IF(OR(_xlpm.前退="",_xlpm.前控=""),"",
     IF(_xlpm.前退&lt;_xlpm.前控,
       ROUNDDOWN(IF(_xlpm.前退&lt;=8000000,_xlpm.前退/400000,(_xlpm.前退-8000000)/700000+20),0),
       IF(ISNUMBER(SEARCH("→ 会社退職金",G7)),
         _xlfn.LET(
           _xlpm.DC開始,入力!$B$11,
           _xlpm.DC終了,B7,
           DATEDIF(_xlpm.DC開始,_xlpm.DC終了+1,"Y")
           +IF(DATEDIF(_xlpm.DC開始,_xlpm.DC終了+1,"YD")&gt;0,1,0)
         ),
         IF(ISNUMBER(SEARCH("会社退職金 →",G7)),
           _xlpm.会勤年,
           ""
         )
       )
     )
   )
 )
)</f>
        <v>2</v>
      </c>
      <c r="N7" s="30">
        <f>IF(
  G7="同年受取",
  "",
  IF(
    I7&lt;&gt;"対象",
    "",
    MAX(
      IF(ISNUMBER(SEARCH("→ 会社退職金",G7)),入力!$B$11,入力!$B$7),
      IF(ISNUMBER(SEARCH("→ 会社退職金",G7)),入力!$B$7,入力!$B$11)
    )
  )
)</f>
        <v>36982</v>
      </c>
      <c r="O7" s="30">
        <f>_xlfn.LET(
  _xlpm.受取順,G7,
  _xlpm.対象,I7,
  _xlpm.前退,J7,
  _xlpm.前控,K7,
  _xlpm.前換算年,M7,
  _xlpm.会社開始,入力!$B$7,
  _xlpm.会社終了,入力!$B$8,
  _xlpm.対象制度開始,入力!$B$11,
  _xlpm.対象制度終了,B7,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7" s="29">
        <f t="shared" si="3"/>
        <v>0</v>
      </c>
      <c r="Q7" s="28">
        <f>IF(G7="同年受取","",
_xlfn.LET(
_xlpm.受取順,G7,
_xlpm.実重複年,P7,
_xlpm.会社本来控除,入力!$B$21,
_xlpm.重複控除,IF(
_xlpm.実重複年&lt;=20,
MAX(800000,400000*_xlpm.実重複年),
8000000+700000*(_xlpm.実重複年-20)
),
IF(
ISNUMBER(SEARCH("→ 会社退職金",_xlpm.受取順)),
IF(
I7="対象",
MAX(0,_xlpm.会社本来控除-_xlpm.重複控除),
_xlpm.会社本来控除
),
_xlpm.会社本来控除
)
))</f>
        <v>22000000</v>
      </c>
      <c r="R7" s="28">
        <f>IF(G7="同年受取","",
 _xlfn.LET(
  _xlpm.受取順,G7,
  _xlpm.DC開始,入力!$B$11,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I7="対象",
    MAX(0,_xlpm.DC本来控除-_xlpm.重複控除),
    _xlpm.DC本来控除
   ),
   _xlpm.DC本来控除
  )
 )
)</f>
        <v>17100000</v>
      </c>
      <c r="S7" s="28">
        <f t="shared" si="4"/>
        <v>0</v>
      </c>
      <c r="T7" s="28">
        <f t="shared" si="5"/>
        <v>3950000</v>
      </c>
      <c r="U7" s="31">
        <f>IF(OR(G7="同年受取",S7=""),"",VLOOKUP(S7,税率表!$A$2:$C$8,2,TRUE))</f>
        <v>0.05</v>
      </c>
      <c r="V7" s="28">
        <f>IF(U7="","",VLOOKUP(S7,税率表!$A$2:$C$8,3,TRUE))</f>
        <v>0</v>
      </c>
      <c r="W7" s="28">
        <f t="shared" si="6"/>
        <v>0</v>
      </c>
      <c r="X7" s="31">
        <f>IF(OR(G7="同年受取",T7=""),"",VLOOKUP(T7,税率表!$A$2:$C$8,2,TRUE))</f>
        <v>0.2</v>
      </c>
      <c r="Y7" s="28">
        <f>IF(X7="","",VLOOKUP(T7,税率表!$A$2:$C$8,3,TRUE))</f>
        <v>427500</v>
      </c>
      <c r="Z7" s="28">
        <f t="shared" si="7"/>
        <v>370112</v>
      </c>
      <c r="AA7" s="28">
        <f t="shared" si="8"/>
        <v>0</v>
      </c>
      <c r="AB7" s="28">
        <f t="shared" si="9"/>
        <v>395000</v>
      </c>
      <c r="AC7" s="28">
        <f t="shared" si="10"/>
        <v>765112</v>
      </c>
      <c r="AD7" s="28">
        <f t="shared" si="11"/>
        <v>25234888</v>
      </c>
      <c r="AE7" s="32" t="str">
        <f t="shared" si="12"/>
        <v>No.2732：確認期間→前の金額/控除→換算年数→重複年度→後の控除調整→課税退職所得→税額</v>
      </c>
      <c r="AF7" s="32">
        <f t="shared" si="13"/>
        <v>2</v>
      </c>
      <c r="AG7" s="32">
        <f>IF(
  OR(J7="",K7="",G7="同年受取"),
  "",
  IF(
    J7&lt;K7,
    AF7,
    IF(
      ISNUMBER(SEARCH("→ 会社退職金",G7)),
      入力!$B$22,
      入力!$B$20
    )
  )
)</f>
        <v>2</v>
      </c>
      <c r="AH7" s="33" t="str">
        <f>IF(G7&lt;&gt;"同年受取","",_xlfn.LET(
_xlpm.A開始,入力!$B$7,
_xlpm.A終了,入力!$B$8,
_xlpm.B開始,入力!$B$11,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4" t="str">
        <f t="shared" si="14"/>
        <v/>
      </c>
      <c r="AJ7" s="34" t="str">
        <f t="shared" si="15"/>
        <v/>
      </c>
      <c r="AK7" s="35" t="str">
        <f t="shared" si="16"/>
        <v/>
      </c>
      <c r="AL7" s="34" t="str">
        <f t="shared" si="17"/>
        <v/>
      </c>
      <c r="AM7" s="34" t="str">
        <f t="shared" si="18"/>
        <v/>
      </c>
      <c r="AN7" s="34" t="str">
        <f t="shared" si="19"/>
        <v/>
      </c>
      <c r="AO7" s="34" t="str">
        <f t="shared" si="20"/>
        <v/>
      </c>
      <c r="AP7" s="34" t="str">
        <f t="shared" si="21"/>
        <v/>
      </c>
      <c r="AQ7" s="34">
        <f t="shared" si="22"/>
        <v>25234888</v>
      </c>
    </row>
    <row r="8" spans="1:43" ht="18.75" customHeight="1" x14ac:dyDescent="0.4">
      <c r="A8" s="24">
        <v>5</v>
      </c>
      <c r="B8" s="5">
        <v>49125</v>
      </c>
      <c r="C8" s="5">
        <v>49125</v>
      </c>
      <c r="D8" s="25">
        <f>入力!$B$9</f>
        <v>47634</v>
      </c>
      <c r="E8" s="26">
        <f>入力!$B$14</f>
        <v>25000000</v>
      </c>
      <c r="F8" s="26">
        <f>入力!$B$10</f>
        <v>1000000</v>
      </c>
      <c r="G8" s="27" t="str">
        <f>IF(OR(C8="",D8=""),"",IF(YEAR(C8)=YEAR(D8),"同年受取",IF(C8&lt;D8,入力!$B$6&amp;" → 会社退職金","会社退職金 → "&amp;入力!$B$6)))</f>
        <v>会社退職金 → DC</v>
      </c>
      <c r="H8" s="27">
        <f>IF(
  OR(G8="同年受取",G8=""),
  "",
  IF(
    ISNUMBER(SEARCH("→ 会社退職金",G8)),
    入力!$B$15,
    IF(
      ISNUMBER(SEARCH("会社退職金 →",G8)),
      入力!$B$16,
      ""
    )
  )
)</f>
        <v>19</v>
      </c>
      <c r="I8" s="27" t="str">
        <f t="shared" si="0"/>
        <v>対象</v>
      </c>
      <c r="J8" s="26">
        <f t="shared" si="1"/>
        <v>1000000</v>
      </c>
      <c r="K8" s="26">
        <f>IF(G8="同年受取","",
 IF(ISNUMBER(SEARCH(" → 会社退職金",G8)),
   _xlfn.LET(
     _xlpm.DC開始,入力!$B$11,
     _xlpm.DC終了,B8,
     _xlpm.年数,IF(DATEDIF(_xlpm.DC開始,_xlpm.DC終了+1,"M")=0,1,CEILING(DATEDIF(_xlpm.DC開始,_xlpm.DC終了+1,"M")/12,1)),
     IF(_xlpm.年数&lt;=20,MAX(400000*_xlpm.年数,800000),8000000+700000*(_xlpm.年数-20))
   ),
 IF(ISNUMBER(SEARCH("会社退職金 → ",G8)),
   _xlfn.LET(
     _xlpm.会社控除額,入力!$B$21,
     _xlpm.会社控除額
   ),
 "")))</f>
        <v>22000000</v>
      </c>
      <c r="L8" s="28" t="str">
        <f t="shared" si="2"/>
        <v>該当</v>
      </c>
      <c r="M8" s="29">
        <f>_xlfn.LET(
 _xlpm.前退,J8,
 _xlpm.前控,K8,
 _xlpm.会勤年,入力!$B$20,
 IF(G8="同年受取","",
   IF(OR(_xlpm.前退="",_xlpm.前控=""),"",
     IF(_xlpm.前退&lt;_xlpm.前控,
       ROUNDDOWN(IF(_xlpm.前退&lt;=8000000,_xlpm.前退/400000,(_xlpm.前退-8000000)/700000+20),0),
       IF(ISNUMBER(SEARCH("→ 会社退職金",G8)),
         _xlfn.LET(
           _xlpm.DC開始,入力!$B$11,
           _xlpm.DC終了,B8,
           DATEDIF(_xlpm.DC開始,_xlpm.DC終了+1,"Y")
           +IF(DATEDIF(_xlpm.DC開始,_xlpm.DC終了+1,"YD")&gt;0,1,0)
         ),
         IF(ISNUMBER(SEARCH("会社退職金 →",G8)),
           _xlpm.会勤年,
           ""
         )
       )
     )
   )
 )
)</f>
        <v>2</v>
      </c>
      <c r="N8" s="30">
        <f>IF(
  G8="同年受取",
  "",
  IF(
    I8&lt;&gt;"対象",
    "",
    MAX(
      IF(ISNUMBER(SEARCH("→ 会社退職金",G8)),入力!$B$11,入力!$B$7),
      IF(ISNUMBER(SEARCH("→ 会社退職金",G8)),入力!$B$7,入力!$B$11)
    )
  )
)</f>
        <v>36982</v>
      </c>
      <c r="O8" s="30">
        <f>_xlfn.LET(
  _xlpm.受取順,G8,
  _xlpm.対象,I8,
  _xlpm.前退,J8,
  _xlpm.前控,K8,
  _xlpm.前換算年,M8,
  _xlpm.会社開始,入力!$B$7,
  _xlpm.会社終了,入力!$B$8,
  _xlpm.対象制度開始,入力!$B$11,
  _xlpm.対象制度終了,B8,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8" s="29">
        <f t="shared" si="3"/>
        <v>0</v>
      </c>
      <c r="Q8" s="28">
        <f>IF(G8="同年受取","",
_xlfn.LET(
_xlpm.受取順,G8,
_xlpm.実重複年,P8,
_xlpm.会社本来控除,入力!$B$21,
_xlpm.重複控除,IF(
_xlpm.実重複年&lt;=20,
MAX(800000,400000*_xlpm.実重複年),
8000000+700000*(_xlpm.実重複年-20)
),
IF(
ISNUMBER(SEARCH("→ 会社退職金",_xlpm.受取順)),
IF(
I8="対象",
MAX(0,_xlpm.会社本来控除-_xlpm.重複控除),
_xlpm.会社本来控除
),
_xlpm.会社本来控除
)
))</f>
        <v>22000000</v>
      </c>
      <c r="R8" s="28">
        <f>IF(G8="同年受取","",
 _xlfn.LET(
  _xlpm.受取順,G8,
  _xlpm.DC開始,入力!$B$11,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I8="対象",
    MAX(0,_xlpm.DC本来控除-_xlpm.重複控除),
    _xlpm.DC本来控除
   ),
   _xlpm.DC本来控除
  )
 )
)</f>
        <v>17800000</v>
      </c>
      <c r="S8" s="28">
        <f t="shared" si="4"/>
        <v>0</v>
      </c>
      <c r="T8" s="28">
        <f t="shared" si="5"/>
        <v>3600000</v>
      </c>
      <c r="U8" s="31">
        <f>IF(OR(G8="同年受取",S8=""),"",VLOOKUP(S8,税率表!$A$2:$C$8,2,TRUE))</f>
        <v>0.05</v>
      </c>
      <c r="V8" s="28">
        <f>IF(U8="","",VLOOKUP(S8,税率表!$A$2:$C$8,3,TRUE))</f>
        <v>0</v>
      </c>
      <c r="W8" s="28">
        <f t="shared" si="6"/>
        <v>0</v>
      </c>
      <c r="X8" s="31">
        <f>IF(OR(G8="同年受取",T8=""),"",VLOOKUP(T8,税率表!$A$2:$C$8,2,TRUE))</f>
        <v>0.2</v>
      </c>
      <c r="Y8" s="28">
        <f>IF(X8="","",VLOOKUP(T8,税率表!$A$2:$C$8,3,TRUE))</f>
        <v>427500</v>
      </c>
      <c r="Z8" s="28">
        <f t="shared" si="7"/>
        <v>298642</v>
      </c>
      <c r="AA8" s="28">
        <f t="shared" si="8"/>
        <v>0</v>
      </c>
      <c r="AB8" s="28">
        <f t="shared" si="9"/>
        <v>360000</v>
      </c>
      <c r="AC8" s="28">
        <f t="shared" si="10"/>
        <v>658642</v>
      </c>
      <c r="AD8" s="28">
        <f t="shared" si="11"/>
        <v>25341358</v>
      </c>
      <c r="AE8" s="32" t="str">
        <f t="shared" si="12"/>
        <v>No.2732：確認期間→前の金額/控除→換算年数→重複年度→後の控除調整→課税退職所得→税額</v>
      </c>
      <c r="AF8" s="32">
        <f t="shared" si="13"/>
        <v>2</v>
      </c>
      <c r="AG8" s="32">
        <f>IF(
  OR(J8="",K8="",G8="同年受取"),
  "",
  IF(
    J8&lt;K8,
    AF8,
    IF(
      ISNUMBER(SEARCH("→ 会社退職金",G8)),
      入力!$B$22,
      入力!$B$20
    )
  )
)</f>
        <v>2</v>
      </c>
      <c r="AH8" s="33" t="str">
        <f>IF(G8&lt;&gt;"同年受取","",_xlfn.LET(
_xlpm.A開始,入力!$B$7,
_xlpm.A終了,入力!$B$8,
_xlpm.B開始,入力!$B$11,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4" t="str">
        <f t="shared" si="14"/>
        <v/>
      </c>
      <c r="AJ8" s="34" t="str">
        <f t="shared" si="15"/>
        <v/>
      </c>
      <c r="AK8" s="35" t="str">
        <f t="shared" si="16"/>
        <v/>
      </c>
      <c r="AL8" s="34" t="str">
        <f t="shared" si="17"/>
        <v/>
      </c>
      <c r="AM8" s="34" t="str">
        <f t="shared" si="18"/>
        <v/>
      </c>
      <c r="AN8" s="34" t="str">
        <f t="shared" si="19"/>
        <v/>
      </c>
      <c r="AO8" s="34" t="str">
        <f t="shared" si="20"/>
        <v/>
      </c>
      <c r="AP8" s="34" t="str">
        <f t="shared" si="21"/>
        <v/>
      </c>
      <c r="AQ8" s="34">
        <f t="shared" si="22"/>
        <v>25341358</v>
      </c>
    </row>
    <row r="9" spans="1:43" ht="18.75" customHeight="1" x14ac:dyDescent="0.4">
      <c r="A9" s="24">
        <v>6</v>
      </c>
      <c r="B9" s="5">
        <v>49490</v>
      </c>
      <c r="C9" s="5">
        <v>49490</v>
      </c>
      <c r="D9" s="25">
        <f>入力!$B$9</f>
        <v>47634</v>
      </c>
      <c r="E9" s="26">
        <f>入力!$B$14</f>
        <v>25000000</v>
      </c>
      <c r="F9" s="26">
        <f>入力!$B$10</f>
        <v>1000000</v>
      </c>
      <c r="G9" s="27" t="str">
        <f>IF(OR(C9="",D9=""),"",IF(YEAR(C9)=YEAR(D9),"同年受取",IF(C9&lt;D9,入力!$B$6&amp;" → 会社退職金","会社退職金 → "&amp;入力!$B$6)))</f>
        <v>会社退職金 → DC</v>
      </c>
      <c r="H9" s="27">
        <f>IF(
  OR(G9="同年受取",G9=""),
  "",
  IF(
    ISNUMBER(SEARCH("→ 会社退職金",G9)),
    入力!$B$15,
    IF(
      ISNUMBER(SEARCH("会社退職金 →",G9)),
      入力!$B$16,
      ""
    )
  )
)</f>
        <v>19</v>
      </c>
      <c r="I9" s="27" t="str">
        <f t="shared" si="0"/>
        <v>対象</v>
      </c>
      <c r="J9" s="26">
        <f t="shared" si="1"/>
        <v>1000000</v>
      </c>
      <c r="K9" s="26">
        <f>IF(G9="同年受取","",
 IF(ISNUMBER(SEARCH(" → 会社退職金",G9)),
   _xlfn.LET(
     _xlpm.DC開始,入力!$B$11,
     _xlpm.DC終了,B9,
     _xlpm.年数,IF(DATEDIF(_xlpm.DC開始,_xlpm.DC終了+1,"M")=0,1,CEILING(DATEDIF(_xlpm.DC開始,_xlpm.DC終了+1,"M")/12,1)),
     IF(_xlpm.年数&lt;=20,MAX(400000*_xlpm.年数,800000),8000000+700000*(_xlpm.年数-20))
   ),
 IF(ISNUMBER(SEARCH("会社退職金 → ",G9)),
   _xlfn.LET(
     _xlpm.会社控除額,入力!$B$21,
     _xlpm.会社控除額
   ),
 "")))</f>
        <v>22000000</v>
      </c>
      <c r="L9" s="28" t="str">
        <f t="shared" si="2"/>
        <v>該当</v>
      </c>
      <c r="M9" s="29">
        <f>_xlfn.LET(
 _xlpm.前退,J9,
 _xlpm.前控,K9,
 _xlpm.会勤年,入力!$B$20,
 IF(G9="同年受取","",
   IF(OR(_xlpm.前退="",_xlpm.前控=""),"",
     IF(_xlpm.前退&lt;_xlpm.前控,
       ROUNDDOWN(IF(_xlpm.前退&lt;=8000000,_xlpm.前退/400000,(_xlpm.前退-8000000)/700000+20),0),
       IF(ISNUMBER(SEARCH("→ 会社退職金",G9)),
         _xlfn.LET(
           _xlpm.DC開始,入力!$B$11,
           _xlpm.DC終了,B9,
           DATEDIF(_xlpm.DC開始,_xlpm.DC終了+1,"Y")
           +IF(DATEDIF(_xlpm.DC開始,_xlpm.DC終了+1,"YD")&gt;0,1,0)
         ),
         IF(ISNUMBER(SEARCH("会社退職金 →",G9)),
           _xlpm.会勤年,
           ""
         )
       )
     )
   )
 )
)</f>
        <v>2</v>
      </c>
      <c r="N9" s="30">
        <f>IF(
  G9="同年受取",
  "",
  IF(
    I9&lt;&gt;"対象",
    "",
    MAX(
      IF(ISNUMBER(SEARCH("→ 会社退職金",G9)),入力!$B$11,入力!$B$7),
      IF(ISNUMBER(SEARCH("→ 会社退職金",G9)),入力!$B$7,入力!$B$11)
    )
  )
)</f>
        <v>36982</v>
      </c>
      <c r="O9" s="30">
        <f>_xlfn.LET(
  _xlpm.受取順,G9,
  _xlpm.対象,I9,
  _xlpm.前退,J9,
  _xlpm.前控,K9,
  _xlpm.前換算年,M9,
  _xlpm.会社開始,入力!$B$7,
  _xlpm.会社終了,入力!$B$8,
  _xlpm.対象制度開始,入力!$B$11,
  _xlpm.対象制度終了,B9,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9" s="29">
        <f t="shared" si="3"/>
        <v>0</v>
      </c>
      <c r="Q9" s="28">
        <f>IF(G9="同年受取","",
_xlfn.LET(
_xlpm.受取順,G9,
_xlpm.実重複年,P9,
_xlpm.会社本来控除,入力!$B$21,
_xlpm.重複控除,IF(
_xlpm.実重複年&lt;=20,
MAX(800000,400000*_xlpm.実重複年),
8000000+700000*(_xlpm.実重複年-20)
),
IF(
ISNUMBER(SEARCH("→ 会社退職金",_xlpm.受取順)),
IF(
I9="対象",
MAX(0,_xlpm.会社本来控除-_xlpm.重複控除),
_xlpm.会社本来控除
),
_xlpm.会社本来控除
)
))</f>
        <v>22000000</v>
      </c>
      <c r="R9" s="28">
        <f>IF(G9="同年受取","",
 _xlfn.LET(
  _xlpm.受取順,G9,
  _xlpm.DC開始,入力!$B$11,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I9="対象",
    MAX(0,_xlpm.DC本来控除-_xlpm.重複控除),
    _xlpm.DC本来控除
   ),
   _xlpm.DC本来控除
  )
 )
)</f>
        <v>18500000</v>
      </c>
      <c r="S9" s="28">
        <f t="shared" si="4"/>
        <v>0</v>
      </c>
      <c r="T9" s="28">
        <f t="shared" si="5"/>
        <v>3250000</v>
      </c>
      <c r="U9" s="31">
        <f>IF(OR(G9="同年受取",S9=""),"",VLOOKUP(S9,税率表!$A$2:$C$8,2,TRUE))</f>
        <v>0.05</v>
      </c>
      <c r="V9" s="28">
        <f>IF(U9="","",VLOOKUP(S9,税率表!$A$2:$C$8,3,TRUE))</f>
        <v>0</v>
      </c>
      <c r="W9" s="28">
        <f t="shared" si="6"/>
        <v>0</v>
      </c>
      <c r="X9" s="31">
        <f>IF(OR(G9="同年受取",T9=""),"",VLOOKUP(T9,税率表!$A$2:$C$8,2,TRUE))</f>
        <v>0.1</v>
      </c>
      <c r="Y9" s="28">
        <f>IF(X9="","",VLOOKUP(T9,税率表!$A$2:$C$8,3,TRUE))</f>
        <v>97500</v>
      </c>
      <c r="Z9" s="28">
        <f t="shared" si="7"/>
        <v>232277</v>
      </c>
      <c r="AA9" s="28">
        <f t="shared" si="8"/>
        <v>0</v>
      </c>
      <c r="AB9" s="28">
        <f t="shared" si="9"/>
        <v>325000</v>
      </c>
      <c r="AC9" s="28">
        <f t="shared" si="10"/>
        <v>557277</v>
      </c>
      <c r="AD9" s="28">
        <f t="shared" si="11"/>
        <v>25442723</v>
      </c>
      <c r="AE9" s="32" t="str">
        <f t="shared" si="12"/>
        <v>No.2732：確認期間→前の金額/控除→換算年数→重複年度→後の控除調整→課税退職所得→税額</v>
      </c>
      <c r="AF9" s="32">
        <f t="shared" si="13"/>
        <v>2</v>
      </c>
      <c r="AG9" s="32">
        <f>IF(
  OR(J9="",K9="",G9="同年受取"),
  "",
  IF(
    J9&lt;K9,
    AF9,
    IF(
      ISNUMBER(SEARCH("→ 会社退職金",G9)),
      入力!$B$22,
      入力!$B$20
    )
  )
)</f>
        <v>2</v>
      </c>
      <c r="AH9" s="33" t="str">
        <f>IF(G9&lt;&gt;"同年受取","",_xlfn.LET(
_xlpm.A開始,入力!$B$7,
_xlpm.A終了,入力!$B$8,
_xlpm.B開始,入力!$B$11,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9" s="34" t="str">
        <f t="shared" si="14"/>
        <v/>
      </c>
      <c r="AJ9" s="34" t="str">
        <f t="shared" si="15"/>
        <v/>
      </c>
      <c r="AK9" s="35" t="str">
        <f t="shared" si="16"/>
        <v/>
      </c>
      <c r="AL9" s="34" t="str">
        <f t="shared" si="17"/>
        <v/>
      </c>
      <c r="AM9" s="34" t="str">
        <f t="shared" si="18"/>
        <v/>
      </c>
      <c r="AN9" s="34" t="str">
        <f t="shared" si="19"/>
        <v/>
      </c>
      <c r="AO9" s="34" t="str">
        <f t="shared" si="20"/>
        <v/>
      </c>
      <c r="AP9" s="34" t="str">
        <f t="shared" si="21"/>
        <v/>
      </c>
      <c r="AQ9" s="34">
        <f t="shared" si="22"/>
        <v>25442723</v>
      </c>
    </row>
    <row r="10" spans="1:43" ht="18.75" customHeight="1" x14ac:dyDescent="0.4">
      <c r="A10" s="24">
        <v>7</v>
      </c>
      <c r="B10" s="5">
        <v>49856</v>
      </c>
      <c r="C10" s="5">
        <v>49856</v>
      </c>
      <c r="D10" s="25">
        <f>入力!$B$9</f>
        <v>47634</v>
      </c>
      <c r="E10" s="26">
        <f>入力!$B$14</f>
        <v>25000000</v>
      </c>
      <c r="F10" s="26">
        <f>入力!$B$10</f>
        <v>1000000</v>
      </c>
      <c r="G10" s="27" t="str">
        <f>IF(OR(C10="",D10=""),"",IF(YEAR(C10)=YEAR(D10),"同年受取",IF(C10&lt;D10,入力!$B$6&amp;" → 会社退職金","会社退職金 → "&amp;入力!$B$6)))</f>
        <v>会社退職金 → DC</v>
      </c>
      <c r="H10" s="27">
        <f>IF(
  OR(G10="同年受取",G10=""),
  "",
  IF(
    ISNUMBER(SEARCH("→ 会社退職金",G10)),
    入力!$B$15,
    IF(
      ISNUMBER(SEARCH("会社退職金 →",G10)),
      入力!$B$16,
      ""
    )
  )
)</f>
        <v>19</v>
      </c>
      <c r="I10" s="27" t="str">
        <f t="shared" si="0"/>
        <v>対象</v>
      </c>
      <c r="J10" s="26">
        <f t="shared" si="1"/>
        <v>1000000</v>
      </c>
      <c r="K10" s="26">
        <f>IF(G10="同年受取","",
 IF(ISNUMBER(SEARCH(" → 会社退職金",G10)),
   _xlfn.LET(
     _xlpm.DC開始,入力!$B$11,
     _xlpm.DC終了,B10,
     _xlpm.年数,IF(DATEDIF(_xlpm.DC開始,_xlpm.DC終了+1,"M")=0,1,CEILING(DATEDIF(_xlpm.DC開始,_xlpm.DC終了+1,"M")/12,1)),
     IF(_xlpm.年数&lt;=20,MAX(400000*_xlpm.年数,800000),8000000+700000*(_xlpm.年数-20))
   ),
 IF(ISNUMBER(SEARCH("会社退職金 → ",G10)),
   _xlfn.LET(
     _xlpm.会社控除額,入力!$B$21,
     _xlpm.会社控除額
   ),
 "")))</f>
        <v>22000000</v>
      </c>
      <c r="L10" s="28" t="str">
        <f t="shared" si="2"/>
        <v>該当</v>
      </c>
      <c r="M10" s="29">
        <f>_xlfn.LET(
 _xlpm.前退,J10,
 _xlpm.前控,K10,
 _xlpm.会勤年,入力!$B$20,
 IF(G10="同年受取","",
   IF(OR(_xlpm.前退="",_xlpm.前控=""),"",
     IF(_xlpm.前退&lt;_xlpm.前控,
       ROUNDDOWN(IF(_xlpm.前退&lt;=8000000,_xlpm.前退/400000,(_xlpm.前退-8000000)/700000+20),0),
       IF(ISNUMBER(SEARCH("→ 会社退職金",G10)),
         _xlfn.LET(
           _xlpm.DC開始,入力!$B$11,
           _xlpm.DC終了,B10,
           DATEDIF(_xlpm.DC開始,_xlpm.DC終了+1,"Y")
           +IF(DATEDIF(_xlpm.DC開始,_xlpm.DC終了+1,"YD")&gt;0,1,0)
         ),
         IF(ISNUMBER(SEARCH("会社退職金 →",G10)),
           _xlpm.会勤年,
           ""
         )
       )
     )
   )
 )
)</f>
        <v>2</v>
      </c>
      <c r="N10" s="30">
        <f>IF(
  G10="同年受取",
  "",
  IF(
    I10&lt;&gt;"対象",
    "",
    MAX(
      IF(ISNUMBER(SEARCH("→ 会社退職金",G10)),入力!$B$11,入力!$B$7),
      IF(ISNUMBER(SEARCH("→ 会社退職金",G10)),入力!$B$7,入力!$B$11)
    )
  )
)</f>
        <v>36982</v>
      </c>
      <c r="O10" s="30">
        <f>_xlfn.LET(
  _xlpm.受取順,G10,
  _xlpm.対象,I10,
  _xlpm.前退,J10,
  _xlpm.前控,K10,
  _xlpm.前換算年,M10,
  _xlpm.会社開始,入力!$B$7,
  _xlpm.会社終了,入力!$B$8,
  _xlpm.対象制度開始,入力!$B$11,
  _xlpm.対象制度終了,B10,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0" s="29">
        <f t="shared" si="3"/>
        <v>0</v>
      </c>
      <c r="Q10" s="28">
        <f>IF(G10="同年受取","",
_xlfn.LET(
_xlpm.受取順,G10,
_xlpm.実重複年,P10,
_xlpm.会社本来控除,入力!$B$21,
_xlpm.重複控除,IF(
_xlpm.実重複年&lt;=20,
MAX(800000,400000*_xlpm.実重複年),
8000000+700000*(_xlpm.実重複年-20)
),
IF(
ISNUMBER(SEARCH("→ 会社退職金",_xlpm.受取順)),
IF(
I10="対象",
MAX(0,_xlpm.会社本来控除-_xlpm.重複控除),
_xlpm.会社本来控除
),
_xlpm.会社本来控除
)
))</f>
        <v>22000000</v>
      </c>
      <c r="R10" s="28">
        <f>IF(G10="同年受取","",
 _xlfn.LET(
  _xlpm.受取順,G10,
  _xlpm.DC開始,入力!$B$11,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I10="対象",
    MAX(0,_xlpm.DC本来控除-_xlpm.重複控除),
    _xlpm.DC本来控除
   ),
   _xlpm.DC本来控除
  )
 )
)</f>
        <v>19200000</v>
      </c>
      <c r="S10" s="28">
        <f t="shared" si="4"/>
        <v>0</v>
      </c>
      <c r="T10" s="28">
        <f t="shared" si="5"/>
        <v>2900000</v>
      </c>
      <c r="U10" s="31">
        <f>IF(OR(G10="同年受取",S10=""),"",VLOOKUP(S10,税率表!$A$2:$C$8,2,TRUE))</f>
        <v>0.05</v>
      </c>
      <c r="V10" s="28">
        <f>IF(U10="","",VLOOKUP(S10,税率表!$A$2:$C$8,3,TRUE))</f>
        <v>0</v>
      </c>
      <c r="W10" s="28">
        <f t="shared" si="6"/>
        <v>0</v>
      </c>
      <c r="X10" s="31">
        <f>IF(OR(G10="同年受取",T10=""),"",VLOOKUP(T10,税率表!$A$2:$C$8,2,TRUE))</f>
        <v>0.1</v>
      </c>
      <c r="Y10" s="28">
        <f>IF(X10="","",VLOOKUP(T10,税率表!$A$2:$C$8,3,TRUE))</f>
        <v>97500</v>
      </c>
      <c r="Z10" s="28">
        <f t="shared" si="7"/>
        <v>196542</v>
      </c>
      <c r="AA10" s="28">
        <f t="shared" si="8"/>
        <v>0</v>
      </c>
      <c r="AB10" s="28">
        <f t="shared" si="9"/>
        <v>290000</v>
      </c>
      <c r="AC10" s="28">
        <f t="shared" si="10"/>
        <v>486542</v>
      </c>
      <c r="AD10" s="28">
        <f t="shared" si="11"/>
        <v>25513458</v>
      </c>
      <c r="AE10" s="32" t="str">
        <f t="shared" si="12"/>
        <v>No.2732：確認期間→前の金額/控除→換算年数→重複年度→後の控除調整→課税退職所得→税額</v>
      </c>
      <c r="AF10" s="32">
        <f t="shared" si="13"/>
        <v>2</v>
      </c>
      <c r="AG10" s="32">
        <f>IF(
  OR(J10="",K10="",G10="同年受取"),
  "",
  IF(
    J10&lt;K10,
    AF10,
    IF(
      ISNUMBER(SEARCH("→ 会社退職金",G10)),
      入力!$B$22,
      入力!$B$20
    )
  )
)</f>
        <v>2</v>
      </c>
      <c r="AH10" s="33" t="str">
        <f>IF(G10&lt;&gt;"同年受取","",_xlfn.LET(
_xlpm.A開始,入力!$B$7,
_xlpm.A終了,入力!$B$8,
_xlpm.B開始,入力!$B$11,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4" t="str">
        <f t="shared" si="14"/>
        <v/>
      </c>
      <c r="AJ10" s="34" t="str">
        <f t="shared" si="15"/>
        <v/>
      </c>
      <c r="AK10" s="35" t="str">
        <f t="shared" si="16"/>
        <v/>
      </c>
      <c r="AL10" s="34" t="str">
        <f t="shared" si="17"/>
        <v/>
      </c>
      <c r="AM10" s="34" t="str">
        <f t="shared" si="18"/>
        <v/>
      </c>
      <c r="AN10" s="34" t="str">
        <f t="shared" si="19"/>
        <v/>
      </c>
      <c r="AO10" s="34" t="str">
        <f t="shared" si="20"/>
        <v/>
      </c>
      <c r="AP10" s="34" t="str">
        <f t="shared" si="21"/>
        <v/>
      </c>
      <c r="AQ10" s="34">
        <f t="shared" si="22"/>
        <v>25513458</v>
      </c>
    </row>
    <row r="11" spans="1:43" ht="18.75" customHeight="1" x14ac:dyDescent="0.4">
      <c r="A11" s="24">
        <v>8</v>
      </c>
      <c r="B11" s="5">
        <v>50221</v>
      </c>
      <c r="C11" s="5">
        <v>50221</v>
      </c>
      <c r="D11" s="25">
        <f>入力!$B$9</f>
        <v>47634</v>
      </c>
      <c r="E11" s="26">
        <f>入力!$B$14</f>
        <v>25000000</v>
      </c>
      <c r="F11" s="26">
        <f>入力!$B$10</f>
        <v>1000000</v>
      </c>
      <c r="G11" s="27" t="str">
        <f>IF(OR(C11="",D11=""),"",IF(YEAR(C11)=YEAR(D11),"同年受取",IF(C11&lt;D11,入力!$B$6&amp;" → 会社退職金","会社退職金 → "&amp;入力!$B$6)))</f>
        <v>会社退職金 → DC</v>
      </c>
      <c r="H11" s="27">
        <f>IF(
  OR(G11="同年受取",G11=""),
  "",
  IF(
    ISNUMBER(SEARCH("→ 会社退職金",G11)),
    入力!$B$15,
    IF(
      ISNUMBER(SEARCH("会社退職金 →",G11)),
      入力!$B$16,
      ""
    )
  )
)</f>
        <v>19</v>
      </c>
      <c r="I11" s="27" t="str">
        <f t="shared" si="0"/>
        <v>対象</v>
      </c>
      <c r="J11" s="26">
        <f t="shared" si="1"/>
        <v>1000000</v>
      </c>
      <c r="K11" s="26">
        <f>IF(G11="同年受取","",
 IF(ISNUMBER(SEARCH(" → 会社退職金",G11)),
   _xlfn.LET(
     _xlpm.DC開始,入力!$B$11,
     _xlpm.DC終了,B11,
     _xlpm.年数,IF(DATEDIF(_xlpm.DC開始,_xlpm.DC終了+1,"M")=0,1,CEILING(DATEDIF(_xlpm.DC開始,_xlpm.DC終了+1,"M")/12,1)),
     IF(_xlpm.年数&lt;=20,MAX(400000*_xlpm.年数,800000),8000000+700000*(_xlpm.年数-20))
   ),
 IF(ISNUMBER(SEARCH("会社退職金 → ",G11)),
   _xlfn.LET(
     _xlpm.会社控除額,入力!$B$21,
     _xlpm.会社控除額
   ),
 "")))</f>
        <v>22000000</v>
      </c>
      <c r="L11" s="28" t="str">
        <f t="shared" si="2"/>
        <v>該当</v>
      </c>
      <c r="M11" s="29">
        <f>_xlfn.LET(
 _xlpm.前退,J11,
 _xlpm.前控,K11,
 _xlpm.会勤年,入力!$B$20,
 IF(G11="同年受取","",
   IF(OR(_xlpm.前退="",_xlpm.前控=""),"",
     IF(_xlpm.前退&lt;_xlpm.前控,
       ROUNDDOWN(IF(_xlpm.前退&lt;=8000000,_xlpm.前退/400000,(_xlpm.前退-8000000)/700000+20),0),
       IF(ISNUMBER(SEARCH("→ 会社退職金",G11)),
         _xlfn.LET(
           _xlpm.DC開始,入力!$B$11,
           _xlpm.DC終了,B11,
           DATEDIF(_xlpm.DC開始,_xlpm.DC終了+1,"Y")
           +IF(DATEDIF(_xlpm.DC開始,_xlpm.DC終了+1,"YD")&gt;0,1,0)
         ),
         IF(ISNUMBER(SEARCH("会社退職金 →",G11)),
           _xlpm.会勤年,
           ""
         )
       )
     )
   )
 )
)</f>
        <v>2</v>
      </c>
      <c r="N11" s="30">
        <f>IF(
  G11="同年受取",
  "",
  IF(
    I11&lt;&gt;"対象",
    "",
    MAX(
      IF(ISNUMBER(SEARCH("→ 会社退職金",G11)),入力!$B$11,入力!$B$7),
      IF(ISNUMBER(SEARCH("→ 会社退職金",G11)),入力!$B$7,入力!$B$11)
    )
  )
)</f>
        <v>36982</v>
      </c>
      <c r="O11" s="30">
        <f>_xlfn.LET(
  _xlpm.受取順,G11,
  _xlpm.対象,I11,
  _xlpm.前退,J11,
  _xlpm.前控,K11,
  _xlpm.前換算年,M11,
  _xlpm.会社開始,入力!$B$7,
  _xlpm.会社終了,入力!$B$8,
  _xlpm.対象制度開始,入力!$B$11,
  _xlpm.対象制度終了,B11,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1" s="29">
        <f t="shared" si="3"/>
        <v>0</v>
      </c>
      <c r="Q11" s="28">
        <f>IF(G11="同年受取","",
_xlfn.LET(
_xlpm.受取順,G11,
_xlpm.実重複年,P11,
_xlpm.会社本来控除,入力!$B$21,
_xlpm.重複控除,IF(
_xlpm.実重複年&lt;=20,
MAX(800000,400000*_xlpm.実重複年),
8000000+700000*(_xlpm.実重複年-20)
),
IF(
ISNUMBER(SEARCH("→ 会社退職金",_xlpm.受取順)),
IF(
I11="対象",
MAX(0,_xlpm.会社本来控除-_xlpm.重複控除),
_xlpm.会社本来控除
),
_xlpm.会社本来控除
)
))</f>
        <v>22000000</v>
      </c>
      <c r="R11" s="28">
        <f>IF(G11="同年受取","",
 _xlfn.LET(
  _xlpm.受取順,G11,
  _xlpm.DC開始,入力!$B$11,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I11="対象",
    MAX(0,_xlpm.DC本来控除-_xlpm.重複控除),
    _xlpm.DC本来控除
   ),
   _xlpm.DC本来控除
  )
 )
)</f>
        <v>19900000</v>
      </c>
      <c r="S11" s="28">
        <f t="shared" si="4"/>
        <v>0</v>
      </c>
      <c r="T11" s="28">
        <f t="shared" si="5"/>
        <v>2550000</v>
      </c>
      <c r="U11" s="31">
        <f>IF(OR(G11="同年受取",S11=""),"",VLOOKUP(S11,税率表!$A$2:$C$8,2,TRUE))</f>
        <v>0.05</v>
      </c>
      <c r="V11" s="28">
        <f>IF(U11="","",VLOOKUP(S11,税率表!$A$2:$C$8,3,TRUE))</f>
        <v>0</v>
      </c>
      <c r="W11" s="28">
        <f t="shared" si="6"/>
        <v>0</v>
      </c>
      <c r="X11" s="31">
        <f>IF(OR(G11="同年受取",T11=""),"",VLOOKUP(T11,税率表!$A$2:$C$8,2,TRUE))</f>
        <v>0.1</v>
      </c>
      <c r="Y11" s="28">
        <f>IF(X11="","",VLOOKUP(T11,税率表!$A$2:$C$8,3,TRUE))</f>
        <v>97500</v>
      </c>
      <c r="Z11" s="28">
        <f t="shared" si="7"/>
        <v>160807</v>
      </c>
      <c r="AA11" s="28">
        <f t="shared" si="8"/>
        <v>0</v>
      </c>
      <c r="AB11" s="28">
        <f t="shared" si="9"/>
        <v>255000</v>
      </c>
      <c r="AC11" s="28">
        <f t="shared" si="10"/>
        <v>415807</v>
      </c>
      <c r="AD11" s="28">
        <f t="shared" si="11"/>
        <v>25584193</v>
      </c>
      <c r="AE11" s="32" t="str">
        <f t="shared" si="12"/>
        <v>No.2732：確認期間→前の金額/控除→換算年数→重複年度→後の控除調整→課税退職所得→税額</v>
      </c>
      <c r="AF11" s="32">
        <f t="shared" si="13"/>
        <v>2</v>
      </c>
      <c r="AG11" s="32">
        <f>IF(
  OR(J11="",K11="",G11="同年受取"),
  "",
  IF(
    J11&lt;K11,
    AF11,
    IF(
      ISNUMBER(SEARCH("→ 会社退職金",G11)),
      入力!$B$22,
      入力!$B$20
    )
  )
)</f>
        <v>2</v>
      </c>
      <c r="AH11" s="33" t="str">
        <f>IF(G11&lt;&gt;"同年受取","",_xlfn.LET(
_xlpm.A開始,入力!$B$7,
_xlpm.A終了,入力!$B$8,
_xlpm.B開始,入力!$B$11,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4" t="str">
        <f t="shared" si="14"/>
        <v/>
      </c>
      <c r="AJ11" s="34" t="str">
        <f t="shared" si="15"/>
        <v/>
      </c>
      <c r="AK11" s="35" t="str">
        <f t="shared" si="16"/>
        <v/>
      </c>
      <c r="AL11" s="34" t="str">
        <f t="shared" si="17"/>
        <v/>
      </c>
      <c r="AM11" s="34" t="str">
        <f t="shared" si="18"/>
        <v/>
      </c>
      <c r="AN11" s="34" t="str">
        <f t="shared" si="19"/>
        <v/>
      </c>
      <c r="AO11" s="34" t="str">
        <f t="shared" si="20"/>
        <v/>
      </c>
      <c r="AP11" s="34" t="str">
        <f t="shared" si="21"/>
        <v/>
      </c>
      <c r="AQ11" s="34">
        <f t="shared" si="22"/>
        <v>25584193</v>
      </c>
    </row>
    <row r="12" spans="1:43" ht="18.75" customHeight="1" x14ac:dyDescent="0.4">
      <c r="A12" s="24">
        <v>9</v>
      </c>
      <c r="B12" s="5">
        <v>50586</v>
      </c>
      <c r="C12" s="5">
        <v>50586</v>
      </c>
      <c r="D12" s="25">
        <f>入力!$B$9</f>
        <v>47634</v>
      </c>
      <c r="E12" s="26">
        <f>入力!$B$14</f>
        <v>25000000</v>
      </c>
      <c r="F12" s="26">
        <f>入力!$B$10</f>
        <v>1000000</v>
      </c>
      <c r="G12" s="27" t="str">
        <f>IF(OR(C12="",D12=""),"",IF(YEAR(C12)=YEAR(D12),"同年受取",IF(C12&lt;D12,入力!$B$6&amp;" → 会社退職金","会社退職金 → "&amp;入力!$B$6)))</f>
        <v>会社退職金 → DC</v>
      </c>
      <c r="H12" s="27">
        <f>IF(
  OR(G12="同年受取",G12=""),
  "",
  IF(
    ISNUMBER(SEARCH("→ 会社退職金",G12)),
    入力!$B$15,
    IF(
      ISNUMBER(SEARCH("会社退職金 →",G12)),
      入力!$B$16,
      ""
    )
  )
)</f>
        <v>19</v>
      </c>
      <c r="I12" s="27" t="str">
        <f t="shared" si="0"/>
        <v>対象</v>
      </c>
      <c r="J12" s="26">
        <f t="shared" si="1"/>
        <v>1000000</v>
      </c>
      <c r="K12" s="26">
        <f>IF(G12="同年受取","",
 IF(ISNUMBER(SEARCH(" → 会社退職金",G12)),
   _xlfn.LET(
     _xlpm.DC開始,入力!$B$11,
     _xlpm.DC終了,B12,
     _xlpm.年数,IF(DATEDIF(_xlpm.DC開始,_xlpm.DC終了+1,"M")=0,1,CEILING(DATEDIF(_xlpm.DC開始,_xlpm.DC終了+1,"M")/12,1)),
     IF(_xlpm.年数&lt;=20,MAX(400000*_xlpm.年数,800000),8000000+700000*(_xlpm.年数-20))
   ),
 IF(ISNUMBER(SEARCH("会社退職金 → ",G12)),
   _xlfn.LET(
     _xlpm.会社控除額,入力!$B$21,
     _xlpm.会社控除額
   ),
 "")))</f>
        <v>22000000</v>
      </c>
      <c r="L12" s="28" t="str">
        <f t="shared" si="2"/>
        <v>該当</v>
      </c>
      <c r="M12" s="29">
        <f>_xlfn.LET(
 _xlpm.前退,J12,
 _xlpm.前控,K12,
 _xlpm.会勤年,入力!$B$20,
 IF(G12="同年受取","",
   IF(OR(_xlpm.前退="",_xlpm.前控=""),"",
     IF(_xlpm.前退&lt;_xlpm.前控,
       ROUNDDOWN(IF(_xlpm.前退&lt;=8000000,_xlpm.前退/400000,(_xlpm.前退-8000000)/700000+20),0),
       IF(ISNUMBER(SEARCH("→ 会社退職金",G12)),
         _xlfn.LET(
           _xlpm.DC開始,入力!$B$11,
           _xlpm.DC終了,B12,
           DATEDIF(_xlpm.DC開始,_xlpm.DC終了+1,"Y")
           +IF(DATEDIF(_xlpm.DC開始,_xlpm.DC終了+1,"YD")&gt;0,1,0)
         ),
         IF(ISNUMBER(SEARCH("会社退職金 →",G12)),
           _xlpm.会勤年,
           ""
         )
       )
     )
   )
 )
)</f>
        <v>2</v>
      </c>
      <c r="N12" s="30">
        <f>IF(
  G12="同年受取",
  "",
  IF(
    I12&lt;&gt;"対象",
    "",
    MAX(
      IF(ISNUMBER(SEARCH("→ 会社退職金",G12)),入力!$B$11,入力!$B$7),
      IF(ISNUMBER(SEARCH("→ 会社退職金",G12)),入力!$B$7,入力!$B$11)
    )
  )
)</f>
        <v>36982</v>
      </c>
      <c r="O12" s="30">
        <f>_xlfn.LET(
  _xlpm.受取順,G12,
  _xlpm.対象,I12,
  _xlpm.前退,J12,
  _xlpm.前控,K12,
  _xlpm.前換算年,M12,
  _xlpm.会社開始,入力!$B$7,
  _xlpm.会社終了,入力!$B$8,
  _xlpm.対象制度開始,入力!$B$11,
  _xlpm.対象制度終了,B12,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2" s="29">
        <f t="shared" si="3"/>
        <v>0</v>
      </c>
      <c r="Q12" s="28">
        <f>IF(G12="同年受取","",
_xlfn.LET(
_xlpm.受取順,G12,
_xlpm.実重複年,P12,
_xlpm.会社本来控除,入力!$B$21,
_xlpm.重複控除,IF(
_xlpm.実重複年&lt;=20,
MAX(800000,400000*_xlpm.実重複年),
8000000+700000*(_xlpm.実重複年-20)
),
IF(
ISNUMBER(SEARCH("→ 会社退職金",_xlpm.受取順)),
IF(
I12="対象",
MAX(0,_xlpm.会社本来控除-_xlpm.重複控除),
_xlpm.会社本来控除
),
_xlpm.会社本来控除
)
))</f>
        <v>22000000</v>
      </c>
      <c r="R12" s="28">
        <f>IF(G12="同年受取","",
 _xlfn.LET(
  _xlpm.受取順,G12,
  _xlpm.DC開始,入力!$B$11,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I12="対象",
    MAX(0,_xlpm.DC本来控除-_xlpm.重複控除),
    _xlpm.DC本来控除
   ),
   _xlpm.DC本来控除
  )
 )
)</f>
        <v>20600000</v>
      </c>
      <c r="S12" s="28">
        <f t="shared" si="4"/>
        <v>0</v>
      </c>
      <c r="T12" s="28">
        <f t="shared" si="5"/>
        <v>2200000</v>
      </c>
      <c r="U12" s="31">
        <f>IF(OR(G12="同年受取",S12=""),"",VLOOKUP(S12,税率表!$A$2:$C$8,2,TRUE))</f>
        <v>0.05</v>
      </c>
      <c r="V12" s="28">
        <f>IF(U12="","",VLOOKUP(S12,税率表!$A$2:$C$8,3,TRUE))</f>
        <v>0</v>
      </c>
      <c r="W12" s="28">
        <f t="shared" si="6"/>
        <v>0</v>
      </c>
      <c r="X12" s="31">
        <f>IF(OR(G12="同年受取",T12=""),"",VLOOKUP(T12,税率表!$A$2:$C$8,2,TRUE))</f>
        <v>0.1</v>
      </c>
      <c r="Y12" s="28">
        <f>IF(X12="","",VLOOKUP(T12,税率表!$A$2:$C$8,3,TRUE))</f>
        <v>97500</v>
      </c>
      <c r="Z12" s="28">
        <f t="shared" si="7"/>
        <v>125072</v>
      </c>
      <c r="AA12" s="28">
        <f t="shared" si="8"/>
        <v>0</v>
      </c>
      <c r="AB12" s="28">
        <f t="shared" si="9"/>
        <v>220000</v>
      </c>
      <c r="AC12" s="28">
        <f t="shared" si="10"/>
        <v>345072</v>
      </c>
      <c r="AD12" s="28">
        <f t="shared" si="11"/>
        <v>25654928</v>
      </c>
      <c r="AE12" s="32" t="str">
        <f t="shared" si="12"/>
        <v>No.2732：確認期間→前の金額/控除→換算年数→重複年度→後の控除調整→課税退職所得→税額</v>
      </c>
      <c r="AF12" s="32">
        <f t="shared" si="13"/>
        <v>2</v>
      </c>
      <c r="AG12" s="32">
        <f>IF(
  OR(J12="",K12="",G12="同年受取"),
  "",
  IF(
    J12&lt;K12,
    AF12,
    IF(
      ISNUMBER(SEARCH("→ 会社退職金",G12)),
      入力!$B$22,
      入力!$B$20
    )
  )
)</f>
        <v>2</v>
      </c>
      <c r="AH12" s="33" t="str">
        <f>IF(G12&lt;&gt;"同年受取","",_xlfn.LET(
_xlpm.A開始,入力!$B$7,
_xlpm.A終了,入力!$B$8,
_xlpm.B開始,入力!$B$11,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4" t="str">
        <f t="shared" si="14"/>
        <v/>
      </c>
      <c r="AJ12" s="34" t="str">
        <f t="shared" si="15"/>
        <v/>
      </c>
      <c r="AK12" s="35" t="str">
        <f t="shared" si="16"/>
        <v/>
      </c>
      <c r="AL12" s="34" t="str">
        <f t="shared" si="17"/>
        <v/>
      </c>
      <c r="AM12" s="34" t="str">
        <f t="shared" si="18"/>
        <v/>
      </c>
      <c r="AN12" s="34" t="str">
        <f t="shared" si="19"/>
        <v/>
      </c>
      <c r="AO12" s="34" t="str">
        <f t="shared" si="20"/>
        <v/>
      </c>
      <c r="AP12" s="34" t="str">
        <f t="shared" si="21"/>
        <v/>
      </c>
      <c r="AQ12" s="34">
        <f t="shared" si="22"/>
        <v>25654928</v>
      </c>
    </row>
    <row r="13" spans="1:43" ht="18.75" customHeight="1" x14ac:dyDescent="0.4">
      <c r="A13" s="24">
        <v>10</v>
      </c>
      <c r="B13" s="5">
        <v>50951</v>
      </c>
      <c r="C13" s="5">
        <v>50951</v>
      </c>
      <c r="D13" s="25">
        <f>入力!$B$9</f>
        <v>47634</v>
      </c>
      <c r="E13" s="26">
        <f>入力!$B$14</f>
        <v>25000000</v>
      </c>
      <c r="F13" s="26">
        <f>入力!$B$10</f>
        <v>1000000</v>
      </c>
      <c r="G13" s="27" t="str">
        <f>IF(OR(C13="",D13=""),"",IF(YEAR(C13)=YEAR(D13),"同年受取",IF(C13&lt;D13,入力!$B$6&amp;" → 会社退職金","会社退職金 → "&amp;入力!$B$6)))</f>
        <v>会社退職金 → DC</v>
      </c>
      <c r="H13" s="27">
        <f>IF(
  OR(G13="同年受取",G13=""),
  "",
  IF(
    ISNUMBER(SEARCH("→ 会社退職金",G13)),
    入力!$B$15,
    IF(
      ISNUMBER(SEARCH("会社退職金 →",G13)),
      入力!$B$16,
      ""
    )
  )
)</f>
        <v>19</v>
      </c>
      <c r="I13" s="27" t="str">
        <f t="shared" si="0"/>
        <v>対象</v>
      </c>
      <c r="J13" s="26">
        <f t="shared" si="1"/>
        <v>1000000</v>
      </c>
      <c r="K13" s="26">
        <f>IF(G13="同年受取","",
 IF(ISNUMBER(SEARCH(" → 会社退職金",G13)),
   _xlfn.LET(
     _xlpm.DC開始,入力!$B$11,
     _xlpm.DC終了,B13,
     _xlpm.年数,IF(DATEDIF(_xlpm.DC開始,_xlpm.DC終了+1,"M")=0,1,CEILING(DATEDIF(_xlpm.DC開始,_xlpm.DC終了+1,"M")/12,1)),
     IF(_xlpm.年数&lt;=20,MAX(400000*_xlpm.年数,800000),8000000+700000*(_xlpm.年数-20))
   ),
 IF(ISNUMBER(SEARCH("会社退職金 → ",G13)),
   _xlfn.LET(
     _xlpm.会社控除額,入力!$B$21,
     _xlpm.会社控除額
   ),
 "")))</f>
        <v>22000000</v>
      </c>
      <c r="L13" s="28" t="str">
        <f t="shared" si="2"/>
        <v>該当</v>
      </c>
      <c r="M13" s="29">
        <f>_xlfn.LET(
 _xlpm.前退,J13,
 _xlpm.前控,K13,
 _xlpm.会勤年,入力!$B$20,
 IF(G13="同年受取","",
   IF(OR(_xlpm.前退="",_xlpm.前控=""),"",
     IF(_xlpm.前退&lt;_xlpm.前控,
       ROUNDDOWN(IF(_xlpm.前退&lt;=8000000,_xlpm.前退/400000,(_xlpm.前退-8000000)/700000+20),0),
       IF(ISNUMBER(SEARCH("→ 会社退職金",G13)),
         _xlfn.LET(
           _xlpm.DC開始,入力!$B$11,
           _xlpm.DC終了,B13,
           DATEDIF(_xlpm.DC開始,_xlpm.DC終了+1,"Y")
           +IF(DATEDIF(_xlpm.DC開始,_xlpm.DC終了+1,"YD")&gt;0,1,0)
         ),
         IF(ISNUMBER(SEARCH("会社退職金 →",G13)),
           _xlpm.会勤年,
           ""
         )
       )
     )
   )
 )
)</f>
        <v>2</v>
      </c>
      <c r="N13" s="30">
        <f>IF(
  G13="同年受取",
  "",
  IF(
    I13&lt;&gt;"対象",
    "",
    MAX(
      IF(ISNUMBER(SEARCH("→ 会社退職金",G13)),入力!$B$11,入力!$B$7),
      IF(ISNUMBER(SEARCH("→ 会社退職金",G13)),入力!$B$7,入力!$B$11)
    )
  )
)</f>
        <v>36982</v>
      </c>
      <c r="O13" s="30">
        <f>_xlfn.LET(
  _xlpm.受取順,G13,
  _xlpm.対象,I13,
  _xlpm.前退,J13,
  _xlpm.前控,K13,
  _xlpm.前換算年,M13,
  _xlpm.会社開始,入力!$B$7,
  _xlpm.会社終了,入力!$B$8,
  _xlpm.対象制度開始,入力!$B$11,
  _xlpm.対象制度終了,B13,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3" s="29">
        <f t="shared" si="3"/>
        <v>0</v>
      </c>
      <c r="Q13" s="28">
        <f>IF(G13="同年受取","",
_xlfn.LET(
_xlpm.受取順,G13,
_xlpm.実重複年,P13,
_xlpm.会社本来控除,入力!$B$21,
_xlpm.重複控除,IF(
_xlpm.実重複年&lt;=20,
MAX(800000,400000*_xlpm.実重複年),
8000000+700000*(_xlpm.実重複年-20)
),
IF(
ISNUMBER(SEARCH("→ 会社退職金",_xlpm.受取順)),
IF(
I13="対象",
MAX(0,_xlpm.会社本来控除-_xlpm.重複控除),
_xlpm.会社本来控除
),
_xlpm.会社本来控除
)
))</f>
        <v>22000000</v>
      </c>
      <c r="R13" s="28">
        <f>IF(G13="同年受取","",
 _xlfn.LET(
  _xlpm.受取順,G13,
  _xlpm.DC開始,入力!$B$11,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ISNUMBER(SEARCH("会社退職金 → ",_xlpm.受取順)),
   IF(
    I13="対象",
    MAX(0,_xlpm.DC本来控除-_xlpm.重複控除),
    _xlpm.DC本来控除
   ),
   _xlpm.DC本来控除
  )
 )
)</f>
        <v>21300000</v>
      </c>
      <c r="S13" s="28">
        <f t="shared" si="4"/>
        <v>0</v>
      </c>
      <c r="T13" s="28">
        <f t="shared" si="5"/>
        <v>1850000</v>
      </c>
      <c r="U13" s="31">
        <f>IF(OR(G13="同年受取",S13=""),"",VLOOKUP(S13,税率表!$A$2:$C$8,2,TRUE))</f>
        <v>0.05</v>
      </c>
      <c r="V13" s="28">
        <f>IF(U13="","",VLOOKUP(S13,税率表!$A$2:$C$8,3,TRUE))</f>
        <v>0</v>
      </c>
      <c r="W13" s="28">
        <f t="shared" si="6"/>
        <v>0</v>
      </c>
      <c r="X13" s="31">
        <f>IF(OR(G13="同年受取",T13=""),"",VLOOKUP(T13,税率表!$A$2:$C$8,2,TRUE))</f>
        <v>0.05</v>
      </c>
      <c r="Y13" s="28">
        <f>IF(X13="","",VLOOKUP(T13,税率表!$A$2:$C$8,3,TRUE))</f>
        <v>0</v>
      </c>
      <c r="Z13" s="28">
        <f t="shared" si="7"/>
        <v>94442</v>
      </c>
      <c r="AA13" s="28">
        <f t="shared" si="8"/>
        <v>0</v>
      </c>
      <c r="AB13" s="28">
        <f t="shared" si="9"/>
        <v>185000</v>
      </c>
      <c r="AC13" s="28">
        <f t="shared" si="10"/>
        <v>279442</v>
      </c>
      <c r="AD13" s="28">
        <f t="shared" si="11"/>
        <v>25720558</v>
      </c>
      <c r="AE13" s="32" t="str">
        <f t="shared" si="12"/>
        <v>No.2732：確認期間→前の金額/控除→換算年数→重複年度→後の控除調整→課税退職所得→税額</v>
      </c>
      <c r="AF13" s="32">
        <f t="shared" si="13"/>
        <v>2</v>
      </c>
      <c r="AG13" s="32">
        <f>IF(
  OR(J13="",K13="",G13="同年受取"),
  "",
  IF(
    J13&lt;K13,
    AF13,
    IF(
      ISNUMBER(SEARCH("→ 会社退職金",G13)),
      入力!$B$22,
      入力!$B$20
    )
  )
)</f>
        <v>2</v>
      </c>
      <c r="AH13" s="33" t="str">
        <f>IF(G13&lt;&gt;"同年受取","",_xlfn.LET(
_xlpm.A開始,入力!$B$7,
_xlpm.A終了,入力!$B$8,
_xlpm.B開始,入力!$B$11,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4" t="str">
        <f t="shared" si="14"/>
        <v/>
      </c>
      <c r="AJ13" s="34" t="str">
        <f t="shared" si="15"/>
        <v/>
      </c>
      <c r="AK13" s="35" t="str">
        <f t="shared" si="16"/>
        <v/>
      </c>
      <c r="AL13" s="34" t="str">
        <f t="shared" si="17"/>
        <v/>
      </c>
      <c r="AM13" s="34" t="str">
        <f t="shared" si="18"/>
        <v/>
      </c>
      <c r="AN13" s="34" t="str">
        <f t="shared" si="19"/>
        <v/>
      </c>
      <c r="AO13" s="34" t="str">
        <f t="shared" si="20"/>
        <v/>
      </c>
      <c r="AP13" s="34" t="str">
        <f t="shared" si="21"/>
        <v/>
      </c>
      <c r="AQ13" s="34">
        <f t="shared" si="22"/>
        <v>25720558</v>
      </c>
    </row>
    <row r="14" spans="1:43" x14ac:dyDescent="0.4">
      <c r="AJ14" s="11"/>
    </row>
    <row r="15" spans="1:43" ht="19.5" x14ac:dyDescent="0.4">
      <c r="A15" s="36" t="s">
        <v>115</v>
      </c>
      <c r="O15" s="37"/>
    </row>
    <row r="16" spans="1:43" ht="18.75" customHeight="1" x14ac:dyDescent="0.4">
      <c r="A16" s="38" t="s">
        <v>116</v>
      </c>
      <c r="B16" s="38"/>
      <c r="C16" s="38"/>
      <c r="D16" s="38"/>
      <c r="E16" s="39" t="s">
        <v>117</v>
      </c>
      <c r="F16" s="40"/>
      <c r="G16" s="40"/>
      <c r="H16" s="40"/>
      <c r="I16" s="40"/>
      <c r="J16" s="40"/>
    </row>
    <row r="17" spans="1:10" x14ac:dyDescent="0.4">
      <c r="B17" s="40"/>
      <c r="C17" s="40"/>
      <c r="D17" s="40"/>
      <c r="E17" s="40"/>
      <c r="F17" s="40"/>
      <c r="G17" s="40"/>
      <c r="H17" s="40"/>
      <c r="I17" s="40"/>
      <c r="J17" s="40"/>
    </row>
    <row r="18" spans="1:10" x14ac:dyDescent="0.4">
      <c r="B18" s="40"/>
      <c r="C18" s="40"/>
      <c r="D18" s="40"/>
      <c r="E18" s="40"/>
      <c r="F18" s="40"/>
      <c r="G18" s="40"/>
      <c r="H18" s="40"/>
      <c r="I18" s="40"/>
      <c r="J18" s="40"/>
    </row>
    <row r="19" spans="1:10" x14ac:dyDescent="0.4">
      <c r="A19" s="41" t="s">
        <v>118</v>
      </c>
      <c r="C19" s="39" t="s">
        <v>119</v>
      </c>
    </row>
    <row r="20" spans="1:10" x14ac:dyDescent="0.4">
      <c r="A20" s="41" t="s">
        <v>194</v>
      </c>
      <c r="C20" s="39" t="s">
        <v>192</v>
      </c>
    </row>
    <row r="21" spans="1:10" x14ac:dyDescent="0.4">
      <c r="A21" s="41"/>
      <c r="C21" s="39" t="s">
        <v>193</v>
      </c>
    </row>
    <row r="22" spans="1:10" x14ac:dyDescent="0.4">
      <c r="A22" s="41"/>
      <c r="C22" s="39" t="s">
        <v>195</v>
      </c>
    </row>
    <row r="23" spans="1:10" x14ac:dyDescent="0.4">
      <c r="A23" s="41" t="s">
        <v>120</v>
      </c>
      <c r="C23" s="39" t="s">
        <v>121</v>
      </c>
    </row>
    <row r="24" spans="1:10" x14ac:dyDescent="0.4">
      <c r="A24" s="41" t="s">
        <v>122</v>
      </c>
      <c r="C24" s="39" t="s">
        <v>123</v>
      </c>
    </row>
    <row r="25" spans="1:10" ht="19.5" x14ac:dyDescent="0.4">
      <c r="A25" s="41" t="s">
        <v>124</v>
      </c>
      <c r="B25" s="42" t="s">
        <v>125</v>
      </c>
    </row>
  </sheetData>
  <sheetProtection algorithmName="SHA-512" hashValue="a2CZFk43gavQysnAa+UOtDdSOBicyEwnog33wRveBzrjvIcsyLDJmWXyusQKREdU9m3R/TTPQnjIFHUCXSdTzA==" saltValue="8VJQkE+FBnxgHk8l6lFpMA==" spinCount="100000" sheet="1" objects="1" scenarios="1"/>
  <mergeCells count="1">
    <mergeCell ref="A1:J1"/>
  </mergeCells>
  <phoneticPr fontId="1"/>
  <dataValidations disablePrompts="1"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4" sqref="B4"/>
    </sheetView>
  </sheetViews>
  <sheetFormatPr defaultRowHeight="18.75" x14ac:dyDescent="0.4"/>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x14ac:dyDescent="0.4">
      <c r="A1" s="10" t="s">
        <v>207</v>
      </c>
    </row>
    <row r="3" spans="1:25" x14ac:dyDescent="0.4">
      <c r="A3" s="11" t="s">
        <v>126</v>
      </c>
    </row>
    <row r="4" spans="1:25" x14ac:dyDescent="0.4">
      <c r="A4" s="43" t="s">
        <v>127</v>
      </c>
      <c r="B4" s="1">
        <v>25689</v>
      </c>
    </row>
    <row r="5" spans="1:25" x14ac:dyDescent="0.4">
      <c r="A5" s="43" t="s">
        <v>128</v>
      </c>
      <c r="B5" s="1">
        <v>33329</v>
      </c>
    </row>
    <row r="6" spans="1:25" x14ac:dyDescent="0.4">
      <c r="A6" s="43" t="s">
        <v>129</v>
      </c>
      <c r="B6" s="1">
        <v>47634</v>
      </c>
      <c r="D6" s="11" t="s">
        <v>130</v>
      </c>
      <c r="E6" s="11" t="str">
        <f>DATEDIF(B4, B6, "Y") &amp; "歳" &amp; DATEDIF(B4, B6, "YM") &amp; "ヶ月"</f>
        <v>60歳0ヶ月</v>
      </c>
    </row>
    <row r="7" spans="1:25" x14ac:dyDescent="0.4">
      <c r="A7" s="43" t="s">
        <v>131</v>
      </c>
      <c r="B7" s="44">
        <f>IF(DATEDIF(B5,B6+1,"M")=0, 1, CEILING(DATEDIF(B5,B6+1,"M")/12, 1))</f>
        <v>40</v>
      </c>
    </row>
    <row r="8" spans="1:25" x14ac:dyDescent="0.4">
      <c r="A8" s="43" t="s">
        <v>120</v>
      </c>
      <c r="B8" s="45">
        <f>IF(B7&lt;=20, MAX(400000*B7, 800000), 8000000+700000*(B7-20))</f>
        <v>22000000</v>
      </c>
      <c r="C8" s="11" t="s">
        <v>132</v>
      </c>
    </row>
    <row r="9" spans="1:25" x14ac:dyDescent="0.4">
      <c r="A9" s="43" t="s">
        <v>133</v>
      </c>
      <c r="B9" s="4">
        <v>22010000</v>
      </c>
    </row>
    <row r="10" spans="1:25" x14ac:dyDescent="0.4">
      <c r="A10" s="43" t="s">
        <v>122</v>
      </c>
      <c r="B10" s="45">
        <f>MAX(0, FLOOR((B9-B8)/2, 1000))</f>
        <v>5000</v>
      </c>
      <c r="C10" s="11" t="s">
        <v>134</v>
      </c>
    </row>
    <row r="11" spans="1:25" x14ac:dyDescent="0.4">
      <c r="A11" s="43" t="s">
        <v>135</v>
      </c>
      <c r="B11" s="46">
        <f>VLOOKUP(B10,tabletax,3,TRUE)</f>
        <v>0.05</v>
      </c>
      <c r="C11" s="11" t="s">
        <v>136</v>
      </c>
      <c r="R11" s="47"/>
      <c r="S11" s="47"/>
      <c r="T11" s="47"/>
    </row>
    <row r="12" spans="1:25" x14ac:dyDescent="0.4">
      <c r="A12" s="43" t="s">
        <v>137</v>
      </c>
      <c r="B12" s="45">
        <f>VLOOKUP(B10,tabletax,4,TRUE)</f>
        <v>0</v>
      </c>
      <c r="C12" s="11" t="s">
        <v>136</v>
      </c>
      <c r="N12" s="47" t="s">
        <v>139</v>
      </c>
      <c r="O12" s="47"/>
      <c r="P12" s="47"/>
      <c r="Q12" s="47"/>
      <c r="R12" s="47" t="s">
        <v>138</v>
      </c>
      <c r="S12" s="47"/>
      <c r="T12" s="47"/>
      <c r="V12" s="47" t="s">
        <v>140</v>
      </c>
      <c r="W12" s="47"/>
      <c r="X12" s="47"/>
      <c r="Y12" s="47"/>
    </row>
    <row r="13" spans="1:25" x14ac:dyDescent="0.4">
      <c r="A13" s="43" t="s">
        <v>141</v>
      </c>
      <c r="B13" s="45">
        <f>FLOOR((B10*B11-B12)*1.021, 1)</f>
        <v>255</v>
      </c>
      <c r="C13" s="11" t="s">
        <v>191</v>
      </c>
      <c r="N13" s="47" t="s">
        <v>146</v>
      </c>
      <c r="O13" s="47"/>
      <c r="P13" s="47"/>
      <c r="Q13" s="48" t="s">
        <v>142</v>
      </c>
      <c r="R13" s="48" t="s">
        <v>143</v>
      </c>
      <c r="S13" s="48" t="s">
        <v>144</v>
      </c>
      <c r="T13" s="48" t="s">
        <v>145</v>
      </c>
      <c r="V13" s="47" t="s">
        <v>147</v>
      </c>
      <c r="W13" s="47"/>
      <c r="X13" s="47"/>
      <c r="Y13" s="47"/>
    </row>
    <row r="14" spans="1:25" x14ac:dyDescent="0.4">
      <c r="A14" s="43" t="s">
        <v>148</v>
      </c>
      <c r="B14" s="45">
        <f>FLOOR(B10 * 0.1, 100)</f>
        <v>500</v>
      </c>
      <c r="C14" s="11" t="s">
        <v>149</v>
      </c>
      <c r="N14" s="47" t="s">
        <v>151</v>
      </c>
      <c r="O14" s="47"/>
      <c r="P14" s="47"/>
      <c r="Q14" s="48">
        <v>0</v>
      </c>
      <c r="R14" s="48" t="s">
        <v>150</v>
      </c>
      <c r="S14" s="49">
        <v>0.05</v>
      </c>
      <c r="T14" s="48">
        <v>0</v>
      </c>
      <c r="V14" s="47" t="s">
        <v>152</v>
      </c>
      <c r="W14" s="47"/>
      <c r="X14" s="47"/>
      <c r="Y14" s="47"/>
    </row>
    <row r="15" spans="1:25" x14ac:dyDescent="0.4">
      <c r="A15" s="43" t="s">
        <v>106</v>
      </c>
      <c r="B15" s="50">
        <f>B13+B14</f>
        <v>755</v>
      </c>
      <c r="N15" s="48" t="s">
        <v>155</v>
      </c>
      <c r="O15" s="48" t="s">
        <v>120</v>
      </c>
      <c r="P15" s="47"/>
      <c r="Q15" s="51">
        <v>1950000</v>
      </c>
      <c r="R15" s="51" t="s">
        <v>154</v>
      </c>
      <c r="S15" s="49">
        <v>0.1</v>
      </c>
      <c r="T15" s="51">
        <v>97500</v>
      </c>
      <c r="V15" s="47" t="s">
        <v>156</v>
      </c>
    </row>
    <row r="16" spans="1:25" x14ac:dyDescent="0.4">
      <c r="A16" s="43" t="s">
        <v>153</v>
      </c>
      <c r="B16" s="45">
        <f>B9-B15</f>
        <v>22009245</v>
      </c>
      <c r="N16" s="52" t="s">
        <v>158</v>
      </c>
      <c r="O16" s="52" t="s">
        <v>159</v>
      </c>
      <c r="P16" s="47"/>
      <c r="Q16" s="51">
        <v>3300000</v>
      </c>
      <c r="R16" s="51" t="s">
        <v>157</v>
      </c>
      <c r="S16" s="49">
        <v>0.2</v>
      </c>
      <c r="T16" s="51">
        <v>427500</v>
      </c>
      <c r="V16" s="47"/>
      <c r="W16" s="47"/>
      <c r="X16" s="47"/>
      <c r="Y16" s="47"/>
    </row>
    <row r="17" spans="2:25" x14ac:dyDescent="0.4">
      <c r="B17" s="34"/>
      <c r="N17" s="53"/>
      <c r="O17" s="54" t="s">
        <v>161</v>
      </c>
      <c r="P17" s="47"/>
      <c r="Q17" s="51">
        <v>6950000</v>
      </c>
      <c r="R17" s="51" t="s">
        <v>160</v>
      </c>
      <c r="S17" s="49">
        <v>0.23</v>
      </c>
      <c r="T17" s="51">
        <v>636000</v>
      </c>
      <c r="V17" s="47"/>
      <c r="W17" s="47"/>
      <c r="X17" s="47"/>
      <c r="Y17" s="47"/>
    </row>
    <row r="18" spans="2:25" x14ac:dyDescent="0.4">
      <c r="N18" s="48" t="s">
        <v>163</v>
      </c>
      <c r="O18" s="48" t="s">
        <v>164</v>
      </c>
      <c r="P18" s="47"/>
      <c r="Q18" s="51">
        <v>9000000</v>
      </c>
      <c r="R18" s="51" t="s">
        <v>162</v>
      </c>
      <c r="S18" s="49">
        <v>0.33</v>
      </c>
      <c r="T18" s="51">
        <v>1536000</v>
      </c>
      <c r="V18" s="47"/>
      <c r="W18" s="47"/>
      <c r="X18" s="47"/>
      <c r="Y18" s="47"/>
    </row>
    <row r="19" spans="2:25" x14ac:dyDescent="0.4">
      <c r="N19" s="47"/>
      <c r="O19" s="47"/>
      <c r="P19" s="47"/>
      <c r="Q19" s="51">
        <v>18000000</v>
      </c>
      <c r="R19" s="51" t="s">
        <v>165</v>
      </c>
      <c r="S19" s="49">
        <v>0.4</v>
      </c>
      <c r="T19" s="51">
        <v>2796000</v>
      </c>
      <c r="V19" s="47"/>
      <c r="W19" s="47"/>
      <c r="X19" s="47"/>
      <c r="Y19" s="47"/>
    </row>
    <row r="20" spans="2:25" x14ac:dyDescent="0.4">
      <c r="N20" s="47"/>
      <c r="O20" s="47"/>
      <c r="P20" s="47"/>
      <c r="Q20" s="51">
        <v>40000000</v>
      </c>
      <c r="R20" s="51" t="s">
        <v>166</v>
      </c>
      <c r="S20" s="49">
        <v>0.45</v>
      </c>
      <c r="T20" s="51">
        <v>4796000</v>
      </c>
      <c r="V20" s="47"/>
      <c r="W20" s="47"/>
      <c r="X20" s="47"/>
      <c r="Y20" s="47"/>
    </row>
    <row r="21" spans="2:25" x14ac:dyDescent="0.4">
      <c r="N21" s="47"/>
      <c r="O21" s="47"/>
      <c r="P21" s="47"/>
      <c r="V21" s="47"/>
      <c r="W21" s="47"/>
      <c r="X21" s="47"/>
      <c r="Y21" s="47"/>
    </row>
    <row r="22" spans="2:25" x14ac:dyDescent="0.4">
      <c r="W22" s="47"/>
      <c r="X22" s="47"/>
      <c r="Y22" s="47"/>
    </row>
    <row r="23" spans="2:25" x14ac:dyDescent="0.4">
      <c r="W23" s="47"/>
      <c r="X23" s="47"/>
      <c r="Y23" s="47"/>
    </row>
    <row r="33" spans="1:1" x14ac:dyDescent="0.4">
      <c r="A33" s="11" t="s">
        <v>167</v>
      </c>
    </row>
    <row r="34" spans="1:1" x14ac:dyDescent="0.4">
      <c r="A34" s="11" t="s">
        <v>168</v>
      </c>
    </row>
    <row r="35" spans="1:1" x14ac:dyDescent="0.4">
      <c r="A35" s="55" t="s">
        <v>169</v>
      </c>
    </row>
    <row r="36" spans="1:1" x14ac:dyDescent="0.4">
      <c r="A36" s="11" t="s">
        <v>170</v>
      </c>
    </row>
    <row r="37" spans="1:1" x14ac:dyDescent="0.4">
      <c r="A37" s="55" t="s">
        <v>171</v>
      </c>
    </row>
    <row r="38" spans="1:1" x14ac:dyDescent="0.4">
      <c r="A38" s="11" t="s">
        <v>172</v>
      </c>
    </row>
    <row r="39" spans="1:1" x14ac:dyDescent="0.4">
      <c r="A39" s="55" t="s">
        <v>173</v>
      </c>
    </row>
    <row r="40" spans="1:1" x14ac:dyDescent="0.4">
      <c r="A40" s="11" t="s">
        <v>174</v>
      </c>
    </row>
    <row r="41" spans="1:1" x14ac:dyDescent="0.4">
      <c r="A41" s="55" t="s">
        <v>175</v>
      </c>
    </row>
  </sheetData>
  <sheetProtection algorithmName="SHA-512" hashValue="5hKIQ7nCg2L2RmppsnNm5VCU7/08rgyYeaF0aNQCmW3pMT+5uZTJQgNCznmQsEj3wML1atP0JhXqEyp2dTo6ig==" saltValue="veS1TiyPMOpyY1m63NDP7A=="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sqref="A1:D1"/>
    </sheetView>
  </sheetViews>
  <sheetFormatPr defaultRowHeight="18.75" x14ac:dyDescent="0.4"/>
  <cols>
    <col min="1" max="1" width="38" style="2" customWidth="1"/>
    <col min="2" max="2" width="42" style="2" customWidth="1"/>
    <col min="3" max="6" width="20" style="2" customWidth="1"/>
  </cols>
  <sheetData>
    <row r="1" spans="1:6" ht="24" x14ac:dyDescent="0.5">
      <c r="A1" s="100" t="s">
        <v>176</v>
      </c>
      <c r="B1" s="101"/>
      <c r="C1" s="101"/>
      <c r="D1" s="101"/>
    </row>
    <row r="3" spans="1:6" x14ac:dyDescent="0.35">
      <c r="A3" s="3" t="s">
        <v>177</v>
      </c>
      <c r="B3" s="102" t="s">
        <v>178</v>
      </c>
      <c r="C3" s="101"/>
      <c r="D3" s="101"/>
      <c r="E3" s="101"/>
      <c r="F3" s="101"/>
    </row>
    <row r="4" spans="1:6" x14ac:dyDescent="0.4">
      <c r="B4" s="101"/>
      <c r="C4" s="101"/>
      <c r="D4" s="101"/>
      <c r="E4" s="101"/>
      <c r="F4" s="101"/>
    </row>
    <row r="5" spans="1:6" x14ac:dyDescent="0.4">
      <c r="B5" s="101"/>
      <c r="C5" s="101"/>
      <c r="D5" s="101"/>
      <c r="E5" s="101"/>
      <c r="F5" s="101"/>
    </row>
    <row r="6" spans="1:6" x14ac:dyDescent="0.4">
      <c r="A6" s="3" t="s">
        <v>179</v>
      </c>
      <c r="B6" s="102" t="s">
        <v>180</v>
      </c>
      <c r="C6" s="101"/>
      <c r="D6" s="101"/>
    </row>
    <row r="7" spans="1:6" x14ac:dyDescent="0.4">
      <c r="B7" s="101"/>
      <c r="C7" s="101"/>
      <c r="D7" s="101"/>
    </row>
    <row r="8" spans="1:6" x14ac:dyDescent="0.4">
      <c r="B8" s="101"/>
      <c r="C8" s="101"/>
      <c r="D8" s="101"/>
    </row>
    <row r="9" spans="1:6" x14ac:dyDescent="0.35">
      <c r="A9" s="3" t="s">
        <v>181</v>
      </c>
      <c r="B9" s="102" t="s">
        <v>182</v>
      </c>
      <c r="C9" s="101"/>
      <c r="D9" s="101"/>
      <c r="E9" s="101"/>
      <c r="F9" s="101"/>
    </row>
    <row r="10" spans="1:6" x14ac:dyDescent="0.4">
      <c r="B10" s="101"/>
      <c r="C10" s="101"/>
      <c r="D10" s="101"/>
      <c r="E10" s="101"/>
      <c r="F10" s="101"/>
    </row>
    <row r="11" spans="1:6" x14ac:dyDescent="0.4">
      <c r="B11" s="101"/>
      <c r="C11" s="101"/>
      <c r="D11" s="101"/>
      <c r="E11" s="101"/>
      <c r="F11" s="101"/>
    </row>
    <row r="12" spans="1:6" x14ac:dyDescent="0.35">
      <c r="A12" s="3" t="s">
        <v>183</v>
      </c>
      <c r="B12" s="101"/>
      <c r="C12" s="101"/>
      <c r="D12" s="101"/>
      <c r="E12" s="101"/>
      <c r="F12" s="101"/>
    </row>
    <row r="13" spans="1:6" x14ac:dyDescent="0.4">
      <c r="B13" s="101"/>
      <c r="C13" s="101"/>
      <c r="D13" s="101"/>
      <c r="E13" s="101"/>
      <c r="F13" s="101"/>
    </row>
    <row r="14" spans="1:6" x14ac:dyDescent="0.4">
      <c r="B14" s="101"/>
      <c r="C14" s="101"/>
      <c r="D14" s="101"/>
      <c r="E14" s="101"/>
      <c r="F14" s="101"/>
    </row>
    <row r="16" spans="1:6" x14ac:dyDescent="0.4">
      <c r="A16" s="3" t="s">
        <v>184</v>
      </c>
      <c r="B16" s="101"/>
      <c r="C16" s="101"/>
      <c r="D16" s="101"/>
    </row>
    <row r="17" spans="1:4" x14ac:dyDescent="0.4">
      <c r="A17" t="s">
        <v>185</v>
      </c>
      <c r="B17" s="103" t="s">
        <v>169</v>
      </c>
      <c r="C17" s="103"/>
      <c r="D17" s="103"/>
    </row>
    <row r="18" spans="1:4" x14ac:dyDescent="0.4">
      <c r="A18" t="s">
        <v>186</v>
      </c>
      <c r="B18" s="103" t="s">
        <v>187</v>
      </c>
      <c r="C18" s="103"/>
      <c r="D18" s="103"/>
    </row>
    <row r="19" spans="1:4" x14ac:dyDescent="0.4">
      <c r="A19" s="2" t="s">
        <v>201</v>
      </c>
    </row>
    <row r="20" spans="1:4" x14ac:dyDescent="0.4">
      <c r="A20"/>
      <c r="B20" s="9" t="s">
        <v>196</v>
      </c>
    </row>
    <row r="21" spans="1:4" x14ac:dyDescent="0.4">
      <c r="A21"/>
      <c r="B21"/>
    </row>
    <row r="22" spans="1:4" x14ac:dyDescent="0.4">
      <c r="A22"/>
      <c r="B22"/>
    </row>
  </sheetData>
  <sheetProtection algorithmName="SHA-512" hashValue="A39iUdugu2MZLBGN2Q2MxNJzykVDQMtq/K1afawvqHl1ohkK7HV/0RDbAPGKz88uNsEUv7lR+g7R1XCScCFSTw==" saltValue="4non3edkXMBQywDpZRkwqg=="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x14ac:dyDescent="0.4"/>
  <cols>
    <col min="1" max="1" width="13" style="2" customWidth="1"/>
    <col min="2" max="3" width="12" style="2" customWidth="1"/>
  </cols>
  <sheetData>
    <row r="1" spans="1:3" x14ac:dyDescent="0.35">
      <c r="A1" s="56" t="s">
        <v>188</v>
      </c>
      <c r="B1" s="57" t="s">
        <v>144</v>
      </c>
      <c r="C1" s="56" t="s">
        <v>145</v>
      </c>
    </row>
    <row r="2" spans="1:3" x14ac:dyDescent="0.4">
      <c r="A2" s="58">
        <v>0</v>
      </c>
      <c r="B2" s="59">
        <v>0.05</v>
      </c>
      <c r="C2" s="58">
        <v>0</v>
      </c>
    </row>
    <row r="3" spans="1:3" x14ac:dyDescent="0.4">
      <c r="A3" s="58">
        <v>1950000</v>
      </c>
      <c r="B3" s="59">
        <v>0.1</v>
      </c>
      <c r="C3" s="58">
        <v>97500</v>
      </c>
    </row>
    <row r="4" spans="1:3" x14ac:dyDescent="0.4">
      <c r="A4" s="58">
        <v>3300000</v>
      </c>
      <c r="B4" s="59">
        <v>0.2</v>
      </c>
      <c r="C4" s="58">
        <v>427500</v>
      </c>
    </row>
    <row r="5" spans="1:3" x14ac:dyDescent="0.4">
      <c r="A5" s="58">
        <v>6950000</v>
      </c>
      <c r="B5" s="59">
        <v>0.23</v>
      </c>
      <c r="C5" s="58">
        <v>636000</v>
      </c>
    </row>
    <row r="6" spans="1:3" x14ac:dyDescent="0.4">
      <c r="A6" s="58">
        <v>9000000</v>
      </c>
      <c r="B6" s="59">
        <v>0.33</v>
      </c>
      <c r="C6" s="58">
        <v>1536000</v>
      </c>
    </row>
    <row r="7" spans="1:3" x14ac:dyDescent="0.4">
      <c r="A7" s="58">
        <v>18000000</v>
      </c>
      <c r="B7" s="59">
        <v>0.4</v>
      </c>
      <c r="C7" s="58">
        <v>2796000</v>
      </c>
    </row>
    <row r="8" spans="1:3" x14ac:dyDescent="0.4">
      <c r="A8" s="58">
        <v>40000000</v>
      </c>
      <c r="B8" s="59">
        <v>0.45</v>
      </c>
      <c r="C8" s="58">
        <v>4796000</v>
      </c>
    </row>
  </sheetData>
  <sheetProtection algorithmName="SHA-512" hashValue="uX9+ACjRCe2JJ5YGbT+EB0ijQLzUlpL/xEV05KnOrdT2zhmqGoY+DwFItZYhpn3EZfxJC8/k/UedcxfpifeqAw==" saltValue="C9UdSViceFTFhRWW1BHd7g=="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3</vt:i4>
      </vt:variant>
    </vt:vector>
  </HeadingPairs>
  <TitlesOfParts>
    <vt:vector size="10" baseType="lpstr">
      <vt:lpstr>入力</vt:lpstr>
      <vt:lpstr>期間図</vt:lpstr>
      <vt:lpstr>重複調整計算</vt:lpstr>
      <vt:lpstr>受取時期比較</vt:lpstr>
      <vt:lpstr>会社退職金</vt:lpstr>
      <vt:lpstr>説明・参照情報</vt:lpstr>
      <vt:lpstr>税率表</vt:lpstr>
      <vt:lpstr>会社退職金!Print_Area</vt:lpstr>
      <vt:lpstr>期間図!Print_Area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2026-10-15T13:31:17Z</dcterms:modified>
</cp:coreProperties>
</file>