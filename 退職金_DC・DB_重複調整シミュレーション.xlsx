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D:\personal\克彦\40_個人年金\"/>
    </mc:Choice>
  </mc:AlternateContent>
  <xr:revisionPtr revIDLastSave="0" documentId="13_ncr:1_{2FCE2FD7-EFF2-44BA-B10D-B5DCB129DCB9}" xr6:coauthVersionLast="47" xr6:coauthVersionMax="47" xr10:uidLastSave="{00000000-0000-0000-0000-000000000000}"/>
  <workbookProtection workbookAlgorithmName="SHA-512" workbookHashValue="xDy3cd6TjsApx1SYHegDGF3A84e1AD38me84/BeuVDCiF8QUyic1TygQQScbJfuh4omJj/k1OOWDR6319YaKYw==" workbookSaltValue="nU/5cJljJzN7UnsxmBLLvg==" workbookSpinCount="100000" lockStructure="1"/>
  <bookViews>
    <workbookView xWindow="-120" yWindow="-120" windowWidth="25440" windowHeight="15270" xr2:uid="{00000000-000D-0000-FFFF-FFFF00000000}"/>
  </bookViews>
  <sheets>
    <sheet name="入力" sheetId="1" r:id="rId1"/>
    <sheet name="期間図" sheetId="11" r:id="rId2"/>
    <sheet name="重複調整計算" sheetId="2" r:id="rId3"/>
    <sheet name="受取時期比較" sheetId="3" r:id="rId4"/>
    <sheet name="会社退職金" sheetId="5" r:id="rId5"/>
    <sheet name="説明・参照情報" sheetId="9" r:id="rId6"/>
    <sheet name="税率表" sheetId="10" r:id="rId7"/>
  </sheets>
  <definedNames>
    <definedName name="_xlnm._FilterDatabase" localSheetId="3" hidden="1">受取時期比較!$A$3:$AC$13</definedName>
    <definedName name="_xlnm.Print_Area" localSheetId="4">会社退職金!$A$1:$L$40</definedName>
    <definedName name="_xlnm.Print_Area" localSheetId="1">期間図!$A$1:$BF$70</definedName>
    <definedName name="tabletax">会社退職金!$Q$14:$T$19</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1" l="1"/>
  <c r="C15" i="1"/>
  <c r="C16" i="1"/>
  <c r="A16" i="1"/>
  <c r="A15" i="1"/>
  <c r="A23" i="1"/>
  <c r="A22" i="1"/>
  <c r="A14" i="1"/>
  <c r="A13" i="1"/>
  <c r="A12" i="1"/>
  <c r="A11" i="1"/>
  <c r="B16" i="1"/>
  <c r="B15" i="1"/>
  <c r="D13" i="3"/>
  <c r="G13" i="3" s="1"/>
  <c r="D12" i="3"/>
  <c r="G12" i="3" s="1"/>
  <c r="D11" i="3"/>
  <c r="G11" i="3" s="1"/>
  <c r="D10" i="3"/>
  <c r="G10" i="3" s="1"/>
  <c r="D9" i="3"/>
  <c r="G9" i="3" s="1"/>
  <c r="D8" i="3"/>
  <c r="G8" i="3" s="1"/>
  <c r="D7" i="3"/>
  <c r="G7" i="3" s="1"/>
  <c r="D6" i="3"/>
  <c r="G6" i="3" s="1"/>
  <c r="D5" i="3"/>
  <c r="G5" i="3" s="1"/>
  <c r="D4" i="3"/>
  <c r="G4" i="3" s="1"/>
  <c r="J4" i="3" s="1"/>
  <c r="B22" i="1"/>
  <c r="B20" i="1"/>
  <c r="K4" i="3" l="1"/>
  <c r="F12" i="1"/>
  <c r="F8" i="1"/>
  <c r="B7" i="5"/>
  <c r="B8" i="5" s="1"/>
  <c r="B10" i="5" s="1"/>
  <c r="E6" i="5"/>
  <c r="F13" i="3"/>
  <c r="J13" i="3" s="1"/>
  <c r="E13" i="3"/>
  <c r="H13" i="3"/>
  <c r="F12" i="3"/>
  <c r="J12" i="3" s="1"/>
  <c r="E12" i="3"/>
  <c r="H12" i="3"/>
  <c r="F11" i="3"/>
  <c r="J11" i="3" s="1"/>
  <c r="E11" i="3"/>
  <c r="H11" i="3"/>
  <c r="F10" i="3"/>
  <c r="J10" i="3" s="1"/>
  <c r="E10" i="3"/>
  <c r="H10" i="3"/>
  <c r="F9" i="3"/>
  <c r="J9" i="3" s="1"/>
  <c r="E9" i="3"/>
  <c r="F8" i="3"/>
  <c r="J8" i="3" s="1"/>
  <c r="E8" i="3"/>
  <c r="H8" i="3"/>
  <c r="F7" i="3"/>
  <c r="J7" i="3" s="1"/>
  <c r="E7" i="3"/>
  <c r="H7" i="3"/>
  <c r="F6" i="3"/>
  <c r="J6" i="3" s="1"/>
  <c r="E6" i="3"/>
  <c r="H6" i="3"/>
  <c r="F5" i="3"/>
  <c r="J5" i="3" s="1"/>
  <c r="E5" i="3"/>
  <c r="H5" i="3"/>
  <c r="F4" i="3"/>
  <c r="E4" i="3"/>
  <c r="H4" i="3"/>
  <c r="B6" i="2"/>
  <c r="B5" i="2"/>
  <c r="B23" i="1"/>
  <c r="B21" i="1"/>
  <c r="K5" i="3" s="1"/>
  <c r="B12" i="2"/>
  <c r="K13" i="3" l="1"/>
  <c r="K12" i="3"/>
  <c r="K11" i="3"/>
  <c r="K10" i="3"/>
  <c r="K9" i="3"/>
  <c r="K8" i="3"/>
  <c r="K7" i="3"/>
  <c r="K6" i="3"/>
  <c r="H9" i="3"/>
  <c r="I9" i="3" s="1"/>
  <c r="N9" i="3" s="1"/>
  <c r="B4" i="2"/>
  <c r="B8" i="2" s="1"/>
  <c r="B13" i="2"/>
  <c r="B14" i="2" s="1"/>
  <c r="AH9" i="3"/>
  <c r="AI9" i="3" s="1"/>
  <c r="AJ9" i="3" s="1"/>
  <c r="AN9" i="3" s="1"/>
  <c r="AH13" i="3"/>
  <c r="AI13" i="3" s="1"/>
  <c r="AJ13" i="3" s="1"/>
  <c r="AH12" i="3"/>
  <c r="AI12" i="3" s="1"/>
  <c r="AJ12" i="3" s="1"/>
  <c r="AH11" i="3"/>
  <c r="AI11" i="3" s="1"/>
  <c r="AJ11" i="3" s="1"/>
  <c r="AH10" i="3"/>
  <c r="AI10" i="3" s="1"/>
  <c r="AJ10" i="3" s="1"/>
  <c r="AH8" i="3"/>
  <c r="AI8" i="3" s="1"/>
  <c r="AJ8" i="3" s="1"/>
  <c r="AH7" i="3"/>
  <c r="AI7" i="3" s="1"/>
  <c r="AJ7" i="3" s="1"/>
  <c r="AH6" i="3"/>
  <c r="AI6" i="3" s="1"/>
  <c r="AJ6" i="3" s="1"/>
  <c r="AH5" i="3"/>
  <c r="AI5" i="3" s="1"/>
  <c r="AJ5" i="3" s="1"/>
  <c r="AH4" i="3"/>
  <c r="AI4" i="3" s="1"/>
  <c r="AJ4" i="3" s="1"/>
  <c r="I5" i="3"/>
  <c r="N5" i="3" s="1"/>
  <c r="I11" i="3"/>
  <c r="N11" i="3" s="1"/>
  <c r="I4" i="3"/>
  <c r="B14" i="5"/>
  <c r="B12" i="5"/>
  <c r="B11" i="5"/>
  <c r="I7" i="3"/>
  <c r="N7" i="3" s="1"/>
  <c r="I10" i="3"/>
  <c r="N10" i="3" s="1"/>
  <c r="I6" i="3"/>
  <c r="N6" i="3" s="1"/>
  <c r="I8" i="3"/>
  <c r="N8" i="3" s="1"/>
  <c r="I13" i="3"/>
  <c r="N13" i="3" s="1"/>
  <c r="I12" i="3"/>
  <c r="N12" i="3" s="1"/>
  <c r="AE9" i="3" l="1"/>
  <c r="B15" i="2"/>
  <c r="L6" i="3"/>
  <c r="M6" i="3" s="1"/>
  <c r="O6" i="3" s="1"/>
  <c r="L9" i="3"/>
  <c r="L8" i="3"/>
  <c r="L11" i="3"/>
  <c r="L13" i="3"/>
  <c r="L12" i="3"/>
  <c r="L10" i="3"/>
  <c r="L7" i="3"/>
  <c r="L5" i="3"/>
  <c r="L4" i="3"/>
  <c r="B9" i="2"/>
  <c r="B7" i="2"/>
  <c r="AN6" i="3"/>
  <c r="AL6" i="3"/>
  <c r="AK6" i="3"/>
  <c r="AM6" i="3" s="1"/>
  <c r="AN13" i="3"/>
  <c r="AK13" i="3"/>
  <c r="AL13" i="3"/>
  <c r="AN8" i="3"/>
  <c r="AL8" i="3"/>
  <c r="AK8" i="3"/>
  <c r="AL7" i="3"/>
  <c r="AK7" i="3"/>
  <c r="AM7" i="3" s="1"/>
  <c r="AN7" i="3"/>
  <c r="AN5" i="3"/>
  <c r="AL5" i="3"/>
  <c r="AK5" i="3"/>
  <c r="AM5" i="3" s="1"/>
  <c r="AN4" i="3"/>
  <c r="AL4" i="3"/>
  <c r="AK4" i="3"/>
  <c r="AL10" i="3"/>
  <c r="AK10" i="3"/>
  <c r="AN10" i="3"/>
  <c r="AK12" i="3"/>
  <c r="AL12" i="3"/>
  <c r="AN12" i="3"/>
  <c r="AN11" i="3"/>
  <c r="AK11" i="3"/>
  <c r="AL11" i="3"/>
  <c r="M4" i="3"/>
  <c r="O4" i="3" s="1"/>
  <c r="AK9" i="3"/>
  <c r="AL9" i="3"/>
  <c r="B13" i="5"/>
  <c r="B15" i="5" s="1"/>
  <c r="AE6" i="3"/>
  <c r="AE11" i="3"/>
  <c r="AE8" i="3"/>
  <c r="AE13" i="3"/>
  <c r="AE12" i="3"/>
  <c r="AE5" i="3"/>
  <c r="AE10" i="3"/>
  <c r="AE4" i="3"/>
  <c r="N4" i="3"/>
  <c r="AF13" i="3"/>
  <c r="AG13" i="3" s="1"/>
  <c r="AE7" i="3"/>
  <c r="AF5" i="3"/>
  <c r="AG5" i="3" s="1"/>
  <c r="AF7" i="3"/>
  <c r="AG7" i="3" s="1"/>
  <c r="AF10" i="3"/>
  <c r="AG10" i="3" s="1"/>
  <c r="AF6" i="3"/>
  <c r="AG6" i="3" s="1"/>
  <c r="AF9" i="3"/>
  <c r="AG9" i="3" s="1"/>
  <c r="AF11" i="3"/>
  <c r="AG11" i="3" s="1"/>
  <c r="AF8" i="3"/>
  <c r="AG8" i="3" s="1"/>
  <c r="AF12" i="3"/>
  <c r="AG12" i="3" s="1"/>
  <c r="M13" i="3" l="1"/>
  <c r="M12" i="3"/>
  <c r="M11" i="3"/>
  <c r="M10" i="3"/>
  <c r="M9" i="3"/>
  <c r="M8" i="3"/>
  <c r="M7" i="3"/>
  <c r="M5" i="3"/>
  <c r="AM4" i="3"/>
  <c r="AO4" i="3" s="1"/>
  <c r="AP4" i="3" s="1"/>
  <c r="B10" i="2"/>
  <c r="B11" i="2" s="1"/>
  <c r="P4" i="3"/>
  <c r="R4" i="3" s="1"/>
  <c r="P6" i="3"/>
  <c r="AM10" i="3"/>
  <c r="AM11" i="3"/>
  <c r="AO11" i="3" s="1"/>
  <c r="AP11" i="3" s="1"/>
  <c r="AM12" i="3"/>
  <c r="AM13" i="3"/>
  <c r="AO13" i="3" s="1"/>
  <c r="AP13" i="3" s="1"/>
  <c r="AM8" i="3"/>
  <c r="AO7" i="3"/>
  <c r="AP7" i="3" s="1"/>
  <c r="AO5" i="3"/>
  <c r="AP5" i="3" s="1"/>
  <c r="AO8" i="3"/>
  <c r="AP8" i="3" s="1"/>
  <c r="AO12" i="3"/>
  <c r="AP12" i="3" s="1"/>
  <c r="AO10" i="3"/>
  <c r="AP10" i="3"/>
  <c r="AO6" i="3"/>
  <c r="AP6" i="3" s="1"/>
  <c r="AM9" i="3"/>
  <c r="AO9" i="3" s="1"/>
  <c r="AP9" i="3" s="1"/>
  <c r="B16" i="5"/>
  <c r="R6" i="3" l="1"/>
  <c r="Q6" i="3"/>
  <c r="O13" i="3"/>
  <c r="P13" i="3" s="1"/>
  <c r="Q13" i="3" s="1"/>
  <c r="O12" i="3"/>
  <c r="P12" i="3" s="1"/>
  <c r="Q12" i="3" s="1"/>
  <c r="O11" i="3"/>
  <c r="P11" i="3" s="1"/>
  <c r="Q11" i="3" s="1"/>
  <c r="O10" i="3"/>
  <c r="P10" i="3" s="1"/>
  <c r="Q10" i="3" s="1"/>
  <c r="O9" i="3"/>
  <c r="P9" i="3" s="1"/>
  <c r="Q9" i="3" s="1"/>
  <c r="O8" i="3"/>
  <c r="P8" i="3" s="1"/>
  <c r="Q8" i="3" s="1"/>
  <c r="O7" i="3"/>
  <c r="P7" i="3" s="1"/>
  <c r="Q7" i="3" s="1"/>
  <c r="O5" i="3"/>
  <c r="P5" i="3" s="1"/>
  <c r="Q5" i="3" s="1"/>
  <c r="S6" i="3"/>
  <c r="T6" i="3"/>
  <c r="R13" i="3" l="1"/>
  <c r="T13" i="3" s="1"/>
  <c r="AB13" i="3" s="1"/>
  <c r="S13" i="3"/>
  <c r="R12" i="3"/>
  <c r="T12" i="3" s="1"/>
  <c r="X12" i="3" s="1"/>
  <c r="Y12" i="3" s="1"/>
  <c r="Z12" i="3" s="1"/>
  <c r="S12" i="3"/>
  <c r="AA12" i="3" s="1"/>
  <c r="R11" i="3"/>
  <c r="T11" i="3" s="1"/>
  <c r="AB11" i="3" s="1"/>
  <c r="S11" i="3"/>
  <c r="U11" i="3" s="1"/>
  <c r="R10" i="3"/>
  <c r="T10" i="3" s="1"/>
  <c r="AB10" i="3" s="1"/>
  <c r="S10" i="3"/>
  <c r="U10" i="3" s="1"/>
  <c r="S9" i="3"/>
  <c r="U9" i="3" s="1"/>
  <c r="V9" i="3" s="1"/>
  <c r="W9" i="3" s="1"/>
  <c r="R9" i="3"/>
  <c r="T9" i="3" s="1"/>
  <c r="X9" i="3" s="1"/>
  <c r="Y9" i="3" s="1"/>
  <c r="Z9" i="3" s="1"/>
  <c r="R8" i="3"/>
  <c r="T8" i="3" s="1"/>
  <c r="X8" i="3" s="1"/>
  <c r="S8" i="3"/>
  <c r="U8" i="3" s="1"/>
  <c r="R7" i="3"/>
  <c r="T7" i="3" s="1"/>
  <c r="AB7" i="3" s="1"/>
  <c r="S7" i="3"/>
  <c r="U7" i="3" s="1"/>
  <c r="R5" i="3"/>
  <c r="T5" i="3" s="1"/>
  <c r="X5" i="3" s="1"/>
  <c r="S5" i="3"/>
  <c r="U5" i="3" s="1"/>
  <c r="X6" i="3"/>
  <c r="AB6" i="3"/>
  <c r="U13" i="3"/>
  <c r="AA13" i="3"/>
  <c r="U6" i="3"/>
  <c r="AA6" i="3"/>
  <c r="AF4" i="3"/>
  <c r="AG4" i="3" s="1"/>
  <c r="U12" i="3" l="1"/>
  <c r="X13" i="3"/>
  <c r="Y13" i="3" s="1"/>
  <c r="Z13" i="3" s="1"/>
  <c r="AB12" i="3"/>
  <c r="AA7" i="3"/>
  <c r="AA11" i="3"/>
  <c r="AA10" i="3"/>
  <c r="X11" i="3"/>
  <c r="Y11" i="3" s="1"/>
  <c r="Z11" i="3" s="1"/>
  <c r="AA9" i="3"/>
  <c r="X10" i="3"/>
  <c r="Y10" i="3" s="1"/>
  <c r="Z10" i="3" s="1"/>
  <c r="AB8" i="3"/>
  <c r="AB9" i="3"/>
  <c r="AC9" i="3" s="1"/>
  <c r="AD9" i="3" s="1"/>
  <c r="AQ9" i="3" s="1"/>
  <c r="AA8" i="3"/>
  <c r="X7" i="3"/>
  <c r="Y7" i="3" s="1"/>
  <c r="Z7" i="3" s="1"/>
  <c r="AB5" i="3"/>
  <c r="AA5" i="3"/>
  <c r="V12" i="3"/>
  <c r="W12" i="3" s="1"/>
  <c r="V11" i="3"/>
  <c r="W11" i="3" s="1"/>
  <c r="V10" i="3"/>
  <c r="W10" i="3" s="1"/>
  <c r="Y8" i="3"/>
  <c r="Z8" i="3" s="1"/>
  <c r="Y6" i="3"/>
  <c r="Z6" i="3" s="1"/>
  <c r="Y5" i="3"/>
  <c r="Z5" i="3" s="1"/>
  <c r="V5" i="3"/>
  <c r="W5" i="3" s="1"/>
  <c r="V6" i="3"/>
  <c r="W6" i="3" s="1"/>
  <c r="V7" i="3"/>
  <c r="W7" i="3" s="1"/>
  <c r="V13" i="3"/>
  <c r="W13" i="3" s="1"/>
  <c r="V8" i="3"/>
  <c r="W8" i="3" s="1"/>
  <c r="AC12" i="3" l="1"/>
  <c r="AD12" i="3" s="1"/>
  <c r="AQ12" i="3" s="1"/>
  <c r="AC11" i="3"/>
  <c r="AD11" i="3" s="1"/>
  <c r="AQ11" i="3" s="1"/>
  <c r="AC13" i="3"/>
  <c r="AD13" i="3" s="1"/>
  <c r="AQ13" i="3" s="1"/>
  <c r="AC10" i="3"/>
  <c r="AD10" i="3" s="1"/>
  <c r="AQ10" i="3" s="1"/>
  <c r="AC8" i="3"/>
  <c r="AD8" i="3" s="1"/>
  <c r="AQ8" i="3" s="1"/>
  <c r="AC6" i="3"/>
  <c r="AD6" i="3" s="1"/>
  <c r="AQ6" i="3" s="1"/>
  <c r="AC7" i="3"/>
  <c r="AD7" i="3" s="1"/>
  <c r="AQ7" i="3" s="1"/>
  <c r="AC5" i="3"/>
  <c r="AD5" i="3" s="1"/>
  <c r="AQ5" i="3" s="1"/>
  <c r="Q4" i="3"/>
  <c r="S4" i="3" s="1"/>
  <c r="T4" i="3"/>
  <c r="AB4" i="3" l="1"/>
  <c r="X4" i="3"/>
  <c r="U4" i="3"/>
  <c r="AA4" i="3"/>
  <c r="V4" i="3" l="1"/>
  <c r="W4" i="3" s="1"/>
  <c r="Y4" i="3"/>
  <c r="Z4" i="3" s="1"/>
  <c r="AC4" i="3" l="1"/>
  <c r="AD4" i="3" s="1"/>
  <c r="AQ4"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B36" authorId="0" shapeId="0" xr:uid="{00000000-0006-0000-0000-000003000000}">
      <text>
        <r>
          <rPr>
            <sz val="11"/>
            <color theme="1"/>
            <rFont val="游ゴシック"/>
            <family val="2"/>
            <charset val="128"/>
            <scheme val="minor"/>
          </rPr>
          <t>参照: 国税庁 No.2735、No.1420。制度改正や個別事情により適用関係が異なるため、最新の公的情報を確認してください。</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B12" authorId="0" shapeId="0" xr:uid="{00000000-0006-0000-0100-000001000000}">
      <text>
        <r>
          <rPr>
            <sz val="11"/>
            <color theme="1"/>
            <rFont val="游ゴシック"/>
            <family val="2"/>
            <charset val="128"/>
            <scheme val="minor"/>
          </rPr>
          <t>入力シートの参考値を参照。受取順序と適用条件を別途確認してください。</t>
        </r>
      </text>
    </comment>
    <comment ref="C12" authorId="0" shapeId="0" xr:uid="{00000000-0006-0000-0100-000002000000}">
      <text>
        <r>
          <rPr>
            <sz val="11"/>
            <color theme="1"/>
            <rFont val="游ゴシック"/>
            <family val="2"/>
            <charset val="128"/>
            <scheme val="minor"/>
          </rPr>
          <t>入力シートの参考値を参照。受取順序と適用条件を別途確認してください。</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A1" authorId="0" shapeId="0" xr:uid="{00000000-0006-0000-0800-000001000000}">
      <text>
        <r>
          <rPr>
            <sz val="11"/>
            <color theme="1"/>
            <rFont val="游ゴシック"/>
            <family val="2"/>
            <charset val="128"/>
            <scheme val="minor"/>
          </rPr>
          <t>既存シート。今回の中心は「入力」「重複調整計算」「受取時期比較」です。</t>
        </r>
      </text>
    </comment>
  </commentList>
</comments>
</file>

<file path=xl/sharedStrings.xml><?xml version="1.0" encoding="utf-8"?>
<sst xmlns="http://schemas.openxmlformats.org/spreadsheetml/2006/main" count="329" uniqueCount="279">
  <si>
    <t>入力項目</t>
  </si>
  <si>
    <t>入力値</t>
  </si>
  <si>
    <t>単位・説明</t>
  </si>
  <si>
    <t>会社退職金の勤続開始日</t>
  </si>
  <si>
    <t>日付。実際の退職金規程に合わせて変更</t>
  </si>
  <si>
    <t>会社退職金の退職日</t>
  </si>
  <si>
    <t>会社退職金の受取日</t>
  </si>
  <si>
    <t>日付</t>
  </si>
  <si>
    <t>会社退職金額</t>
  </si>
  <si>
    <t>円</t>
  </si>
  <si>
    <t>制度資料で確認した期間を入力</t>
  </si>
  <si>
    <t>日付。比較シートで変更可能</t>
  </si>
  <si>
    <t>円。仮入力。実際の残高に変更</t>
  </si>
  <si>
    <t>今回の入力ケースの判定</t>
  </si>
  <si>
    <t>受取順序</t>
  </si>
  <si>
    <t>受取日を比較して自動判定</t>
  </si>
  <si>
    <t>自動計算</t>
  </si>
  <si>
    <t>結果</t>
  </si>
  <si>
    <t>説明</t>
  </si>
  <si>
    <t>会社退職金の勤続年数</t>
  </si>
  <si>
    <t>端数は1年に切上げる簡易計算</t>
  </si>
  <si>
    <t>会社退職金の退職所得控除額</t>
  </si>
  <si>
    <t>通常の退職所得控除</t>
  </si>
  <si>
    <t>重複調整前</t>
  </si>
  <si>
    <t>重複調整の確認期間</t>
  </si>
  <si>
    <t>比較シートとの関係</t>
  </si>
  <si>
    <t>注意</t>
  </si>
  <si>
    <t>設計上の注意</t>
  </si>
  <si>
    <t>制度の考え方・このシミュレーションの目的</t>
  </si>
  <si>
    <t>退職所得控除を2回受けられる可能性</t>
  </si>
  <si>
    <t>重複調整の考え方</t>
  </si>
  <si>
    <t>本年分の退職手当等の勤続期間と、一定期間内に受け取った前の退職手当等の勤続期間に重複がある場合、その重複期間に対応する退職所得控除額相当額が、本年分の退職所得控除額から差し引かれることがあります。</t>
  </si>
  <si>
    <t>受取時期を検討する理由</t>
  </si>
  <si>
    <t>「利益が増える」の意味</t>
  </si>
  <si>
    <t>このExcelで確認すること</t>
  </si>
  <si>
    <t>主な参照先</t>
  </si>
  <si>
    <t>国税庁 No.2735「同じ年に2か所以上から退職手当等が支払われるとき」／国税庁 No.1420「退職金を受け取ったとき（退職所得）」</t>
  </si>
  <si>
    <t>重要な注意</t>
  </si>
  <si>
    <t>「19年」「9年」はすべてのケースに一律適用される期間ではありません。受取年、退職手当等の種類、DC一時金の支払時期、過去の受取状況などにより適用関係が異なるため、実際の計算では国税庁の規定と制度資料を確認してください。</t>
  </si>
  <si>
    <t>重複調整計算（今回の入力ケース）</t>
  </si>
  <si>
    <t>項目</t>
  </si>
  <si>
    <t>今回の入力ケース</t>
  </si>
  <si>
    <t>計算根拠</t>
  </si>
  <si>
    <t>確認</t>
  </si>
  <si>
    <t>先に受け取る制度</t>
  </si>
  <si>
    <t>受取日が早い制度</t>
  </si>
  <si>
    <t>受取日比較</t>
  </si>
  <si>
    <t>先の受取日</t>
  </si>
  <si>
    <t>受取日の早い方</t>
  </si>
  <si>
    <t>入力シート</t>
  </si>
  <si>
    <t>後の受取日</t>
  </si>
  <si>
    <t>受取日の遅い方</t>
  </si>
  <si>
    <t>先の一時金額</t>
  </si>
  <si>
    <t>先に受け取る制度の金額</t>
  </si>
  <si>
    <t>先の控除計算年数</t>
  </si>
  <si>
    <t>先に受け取る制度の控除計算年数</t>
  </si>
  <si>
    <t>先の本来の退職所得控除</t>
  </si>
  <si>
    <t>退職所得控除表</t>
  </si>
  <si>
    <t>先の金額が控除未満か</t>
  </si>
  <si>
    <t>前の一時金額と本来の控除額を比較</t>
  </si>
  <si>
    <t>国税庁No.2732</t>
  </si>
  <si>
    <t>前の退職手当等の換算年数</t>
  </si>
  <si>
    <t>控除未満の場合に金額から換算</t>
  </si>
  <si>
    <t>要確認</t>
  </si>
  <si>
    <t>受取順序から自動判定</t>
  </si>
  <si>
    <t>重複調整の対象となる受取間隔</t>
  </si>
  <si>
    <t>前の退職手当等の受取日が確認期間内か</t>
  </si>
  <si>
    <t>受取日・確認期間</t>
  </si>
  <si>
    <t>実際の重複期間</t>
  </si>
  <si>
    <t>重複がある場合だけ、両制度の期間から算定</t>
  </si>
  <si>
    <t>要計算</t>
  </si>
  <si>
    <t>後の調整後控除額</t>
  </si>
  <si>
    <t>重複なしなら本来の控除額をそのまま使用</t>
  </si>
  <si>
    <t>重複期間がある場合のみ調整</t>
  </si>
  <si>
    <t>計算の分岐</t>
  </si>
  <si>
    <t>重複なし → 通常の退職所得控除。重複あり → 重複期間に応じた控除額調整へ切替。</t>
  </si>
  <si>
    <t>今回の設計上の重要ポイント</t>
  </si>
  <si>
    <t>このシートは入力B10による「1ケース」の計算。複数のDC受取時期を並べるのは「受取時期比較」です。</t>
  </si>
  <si>
    <t>重要</t>
  </si>
  <si>
    <t>実際の重複期間は、各制度の開始日・終了日と、前の退職手当等の受取時期を基に確定する必要があります。ここでは重複なしの場合は通常控除に戻し、重複ありの場合だけ詳細計算へ切り替える構造にしています。</t>
  </si>
  <si>
    <t>制度説明</t>
  </si>
  <si>
    <t>控除を2回受けられる可能性</t>
  </si>
  <si>
    <t>受取時期の調整効果</t>
  </si>
  <si>
    <t>受取時期によって調整対象となる期間や重複状況が変わり、調整後控除額・課税額・手取り額が変わる可能性があります。</t>
  </si>
  <si>
    <t>このシートの重複期間は簡易的な確認値です。実際の申告用には、受取日、加入期間、制度移行・資産移換、過去の退職手当等を確認したうえで、法令に沿った計算が必要です。</t>
  </si>
  <si>
    <t>受取時期比較（入力ケースとは別の複数ケース比較）</t>
  </si>
  <si>
    <t>目的</t>
  </si>
  <si>
    <t>ケース</t>
  </si>
  <si>
    <t>DC受取日</t>
  </si>
  <si>
    <t>会社退職金受取日</t>
  </si>
  <si>
    <t>DC金額</t>
  </si>
  <si>
    <t>確認期間</t>
  </si>
  <si>
    <t>重複調整対象</t>
  </si>
  <si>
    <t>前の退職手当等金額</t>
  </si>
  <si>
    <t>重複期間開始日</t>
  </si>
  <si>
    <t>重複期間終了日</t>
  </si>
  <si>
    <t>実際の重複年度</t>
  </si>
  <si>
    <t>会社調整後控除</t>
  </si>
  <si>
    <t>会社課税退職所得</t>
  </si>
  <si>
    <t>DC課税退職所得</t>
  </si>
  <si>
    <t>会社所得税率</t>
  </si>
  <si>
    <t>会社所得税等</t>
  </si>
  <si>
    <t>DC所得税率</t>
  </si>
  <si>
    <t>DC所得税等</t>
  </si>
  <si>
    <t>会社住民税</t>
  </si>
  <si>
    <t>DC住民税</t>
  </si>
  <si>
    <t>合計税額</t>
  </si>
  <si>
    <t>税引後手取り</t>
  </si>
  <si>
    <t>計算内容・根拠</t>
  </si>
  <si>
    <t>機械的換算年数（参考）</t>
  </si>
  <si>
    <t>適用年数</t>
  </si>
  <si>
    <t>同年所得税率</t>
  </si>
  <si>
    <t>同年所得税等</t>
  </si>
  <si>
    <t>同年住民税</t>
  </si>
  <si>
    <t>同年税引後手取り</t>
  </si>
  <si>
    <t>計算式・制度根拠（国税庁 No.2732）</t>
  </si>
  <si>
    <t>① 前の退職手当等の金額が本来の控除額未満</t>
  </si>
  <si>
    <t>800万円以下：収入金額÷40万円 ／ 800万円超：（収入金額－800万円）÷70万円＋20。1未満の端数切捨て。</t>
  </si>
  <si>
    <t>同年受取の計算式</t>
  </si>
  <si>
    <t>No.2735：同年の退職手当等を合算し、2制度の勤続期間を統合して退職所得控除額を計算します。</t>
  </si>
  <si>
    <t>退職所得控除額</t>
  </si>
  <si>
    <t>20年以下：MAX(40万円×A,80万円) ／ 20年超：800万円＋70万円×(A－20)</t>
  </si>
  <si>
    <t>課税退職所得</t>
  </si>
  <si>
    <t>（同年合算収入金額－退職所得控除額）×1/2、1,000円未満切捨て</t>
  </si>
  <si>
    <t>税額</t>
  </si>
  <si>
    <t>課税退職所得金額を速算表に適用し、102.1%を乗算</t>
  </si>
  <si>
    <t>退職所得の計算</t>
  </si>
  <si>
    <t>誕生日</t>
  </si>
  <si>
    <t>入社年月日</t>
  </si>
  <si>
    <t>退職年月日</t>
  </si>
  <si>
    <t>退職時年齢</t>
  </si>
  <si>
    <t>勤続年数</t>
  </si>
  <si>
    <t>※1</t>
  </si>
  <si>
    <t>退職金支給額</t>
  </si>
  <si>
    <t>（収入金額（源泉徴収される前の金額） － 退職所得控除額） × 1 ／ 2 ＝ 退職所得の金額。ただし1000円未満は0円。</t>
  </si>
  <si>
    <t>所得税率</t>
  </si>
  <si>
    <t>※2</t>
  </si>
  <si>
    <t>所得税控除額</t>
  </si>
  <si>
    <t>所得税の速算表 ※2</t>
  </si>
  <si>
    <t>退職所得控除額の計算方法　※1</t>
  </si>
  <si>
    <t>住民税計算　※3</t>
  </si>
  <si>
    <t>所得税(復興含む)</t>
  </si>
  <si>
    <t>課税所得(以上)</t>
  </si>
  <si>
    <t>課税される所得金額</t>
  </si>
  <si>
    <t>税率</t>
  </si>
  <si>
    <t>控除額</t>
  </si>
  <si>
    <t>退職所得控除額は、次のように計算します。</t>
  </si>
  <si>
    <t>課税退職所得 ✕税率10%</t>
  </si>
  <si>
    <t>住民税</t>
  </si>
  <si>
    <t>※3</t>
  </si>
  <si>
    <t>1,000円 から 1,949,000円まで</t>
  </si>
  <si>
    <t>退職所得控除額の計算の表</t>
  </si>
  <si>
    <t>特別徴収すべき税額（市町村民税額、道府県民税額）に、百円未満の端数がある場合は、</t>
  </si>
  <si>
    <t>手取額</t>
  </si>
  <si>
    <t>1,950,000円 から 3,299,000円まで</t>
  </si>
  <si>
    <t>勤続年数(＝A)</t>
  </si>
  <si>
    <t>それぞれ百円単位未満の端数を切り捨てる（特別徴収税額は100円単位）。</t>
  </si>
  <si>
    <t>3,300,000円 から 6,949,000円まで</t>
  </si>
  <si>
    <t>20年以下</t>
  </si>
  <si>
    <t xml:space="preserve">	40万円 × A</t>
  </si>
  <si>
    <t>6,950,000円 から 8,999,000円まで</t>
  </si>
  <si>
    <t>(80万円に満たない場合には、80万円)</t>
  </si>
  <si>
    <t>9,000,000円 から 17,999,000円まで</t>
  </si>
  <si>
    <t>20年超</t>
  </si>
  <si>
    <t>800万円 ＋ 70万円 × (A - 20年)</t>
  </si>
  <si>
    <t>18,000,000円 から 39,999,000円まで</t>
  </si>
  <si>
    <t>40,000,000円 以上</t>
  </si>
  <si>
    <t>参照情報：</t>
  </si>
  <si>
    <t>No.1420 退職金を受け取ったとき(退職所得)</t>
  </si>
  <si>
    <t>https://www.nta.go.jp/taxes/shiraberu/taxanswer/shotoku/1420.htm</t>
  </si>
  <si>
    <t>No.2260 所得税の税率</t>
  </si>
  <si>
    <t>https://www.nta.go.jp/taxes/shiraberu/taxanswer/shotoku/2260.htm</t>
  </si>
  <si>
    <t>No.2507 復興特別所得税の源泉徴収</t>
  </si>
  <si>
    <t>https://www.nta.go.jp/taxes/shiraberu/taxanswer/gensen/2507.htm</t>
  </si>
  <si>
    <t>退職所得に対する住民税の特別徴収について</t>
  </si>
  <si>
    <t>https://www.soumu.go.jp/main_sosiki/jichi_zeisei/czaisei/65871.html</t>
  </si>
  <si>
    <t>説明・参照情報</t>
  </si>
  <si>
    <t>このファイルの位置づけ</t>
  </si>
  <si>
    <t>会社退職金、企業型DC、iDeCo、DBの一時金について、確認済みの計算用年数を入力して個別の参考計算を行う検討版です。</t>
  </si>
  <si>
    <t>入力方法</t>
  </si>
  <si>
    <t>使用しない制度は一時金受取額を0円としてください。制度移行前の期間、資産移換、過去の退職手当等、受取日などは制度資料や実施者への確認が必要です。</t>
  </si>
  <si>
    <t>計算用年数について</t>
  </si>
  <si>
    <t>企業型DC・iDeCo・DBでは、制度の加入期間だけでなく、制度移行や通算、過去の退職手当等との関係が影響する場合があります。Excelが自動推定せず、確認済みの年数を入力する方式としています。</t>
  </si>
  <si>
    <t>税務上の注意</t>
  </si>
  <si>
    <t>参照先</t>
  </si>
  <si>
    <t>国税庁：退職所得</t>
  </si>
  <si>
    <t>国税庁：確定給付企業年金等に係る課税関係</t>
  </si>
  <si>
    <t>https://www.nta.go.jp/taxes/shiraberu/taxanswer/gensen/2732.htm</t>
  </si>
  <si>
    <t>課税退職所得金額の範囲</t>
  </si>
  <si>
    <t>誕生日</t>
    <rPh sb="0" eb="3">
      <t>タンジョウビ</t>
    </rPh>
    <phoneticPr fontId="1"/>
  </si>
  <si>
    <t>DC加入終了日</t>
    <rPh sb="2" eb="4">
      <t>カニュウ</t>
    </rPh>
    <rPh sb="4" eb="7">
      <t>シュウリョウビ</t>
    </rPh>
    <phoneticPr fontId="1"/>
  </si>
  <si>
    <t>税額＝（課税退職所得金額×税率－控除額）×102.1％</t>
  </si>
  <si>
    <t>No.2735：支払済みの他の退職手当等の勤続期間と今回の退職手当等の勤続期間のうち最も長い勤続期間により勤続年数を算出する。</t>
    <phoneticPr fontId="1"/>
  </si>
  <si>
    <t xml:space="preserve">                 最も長い期間以外の期間のうち、その最も長い期間と重複していない期間がある場合は、その重複しない部分を最も長い期間に加算する。</t>
    <phoneticPr fontId="1"/>
  </si>
  <si>
    <t>同年受取の勤続年数</t>
    <rPh sb="5" eb="9">
      <t>キンゾクネンスウ</t>
    </rPh>
    <phoneticPr fontId="1"/>
  </si>
  <si>
    <t xml:space="preserve">                 この勤続年数に1年に満たない端数があるときは、1年に切り上げます。</t>
    <phoneticPr fontId="1"/>
  </si>
  <si>
    <t>https://www.nta.go.jp/taxes/shiraberu/taxanswer/gensen/2741.htm</t>
  </si>
  <si>
    <t>勤続年数</t>
    <phoneticPr fontId="1"/>
  </si>
  <si>
    <t>DC控除計算用加入終了日</t>
    <phoneticPr fontId="1"/>
  </si>
  <si>
    <t>前の本来控除額</t>
    <phoneticPr fontId="1"/>
  </si>
  <si>
    <t>前の換算年数</t>
    <phoneticPr fontId="1"/>
  </si>
  <si>
    <r>
      <t>国税庁：同じ年に一般退職手当等のほか、短期退職手当等や特定役員退職手当等がある場合[</t>
    </r>
    <r>
      <rPr>
        <b/>
        <sz val="11"/>
        <color theme="1"/>
        <rFont val="游ゴシック"/>
        <family val="3"/>
        <charset val="128"/>
        <scheme val="minor"/>
      </rPr>
      <t>この条件は未対応</t>
    </r>
    <r>
      <rPr>
        <sz val="11"/>
        <color theme="1"/>
        <rFont val="游ゴシック"/>
        <family val="2"/>
        <charset val="128"/>
        <scheme val="minor"/>
      </rPr>
      <t>]</t>
    </r>
    <rPh sb="44" eb="46">
      <t>ジョウケン</t>
    </rPh>
    <rPh sb="47" eb="50">
      <t>ミタイオウ</t>
    </rPh>
    <phoneticPr fontId="1"/>
  </si>
  <si>
    <t>手取り</t>
    <rPh sb="0" eb="2">
      <t>テド</t>
    </rPh>
    <phoneticPr fontId="1"/>
  </si>
  <si>
    <t>DC調整後控除</t>
    <phoneticPr fontId="1"/>
  </si>
  <si>
    <t>前の退職手当等が控除額未満</t>
    <phoneticPr fontId="1"/>
  </si>
  <si>
    <t>会社所得税控除額</t>
    <phoneticPr fontId="1"/>
  </si>
  <si>
    <t>DC所得税控除額</t>
    <phoneticPr fontId="1"/>
  </si>
  <si>
    <t>■会社退職金のみの場合用</t>
    <rPh sb="1" eb="3">
      <t>カイシャ</t>
    </rPh>
    <rPh sb="3" eb="6">
      <t>タイショクキン</t>
    </rPh>
    <rPh sb="9" eb="11">
      <t>バアイ</t>
    </rPh>
    <rPh sb="11" eb="12">
      <t>ヨウ</t>
    </rPh>
    <phoneticPr fontId="1"/>
  </si>
  <si>
    <t>github</t>
    <phoneticPr fontId="1"/>
  </si>
  <si>
    <t>https://github.com/pukkunk/retirement-income-tax-dc-excel/blob/main/README.md</t>
    <phoneticPr fontId="1"/>
  </si>
  <si>
    <t>対象制度</t>
    <phoneticPr fontId="1"/>
  </si>
  <si>
    <t>DC=確定拠出年金(企業型DC,iDeCo)  or DB=DB確定給付企業年金</t>
    <rPh sb="3" eb="9">
      <t>カクテイキョシュツネンキン</t>
    </rPh>
    <rPh sb="10" eb="12">
      <t>キギョウ</t>
    </rPh>
    <rPh sb="12" eb="13">
      <t>カタ</t>
    </rPh>
    <phoneticPr fontId="1"/>
  </si>
  <si>
    <t>DC</t>
  </si>
  <si>
    <t>通常の退職金＋DC・DB一時金：重複調整シミュレーション</t>
    <phoneticPr fontId="1"/>
  </si>
  <si>
    <t>対象制度や受取時期によって適用される規定が異なります。実際の加入期間・勤続期間、給付内容、過去の退職手当等を確認してご利用ください。</t>
  </si>
  <si>
    <t>本Excelは、会社退職金と、確定拠出年金（企業型DC・iDeCo）[以降DCと表記]または確定給付企業年金（DB）の一時金について、受取時期や受取順序による退職所得控除の重複調整を試算するためのものです。</t>
    <rPh sb="35" eb="37">
      <t>イコウ</t>
    </rPh>
    <rPh sb="40" eb="42">
      <t>ヒョウキ</t>
    </rPh>
    <phoneticPr fontId="1"/>
  </si>
  <si>
    <t>「受取時期比較」は入力B10の値を増やす入力欄ではなく、複数の受取時期を並べて比較する別計算です。入力B10は今回の1ケース用。</t>
    <phoneticPr fontId="1"/>
  </si>
  <si>
    <t>通常の退職金とDC/DBについて、退職所得控除をそれぞれ適用できる可能性と、重複期間による控除額調整の影響を検討する試算用です。受取時期を変えることで税引後の手取り額が増える可能性がありますが、必ず有利になるとは限りません。</t>
    <phoneticPr fontId="1"/>
  </si>
  <si>
    <t>B12・B13は重複期間そのものではなく、法令上の確認対象となり得る期間を示す参考値です。実際の重複期間は、退職金・DC/DBの加入期間、受取日、制度移行・資産移換、過去の退職手当等を確認して計算する必要があります。</t>
    <phoneticPr fontId="1"/>
  </si>
  <si>
    <t>通常の退職金とDC/DBは、受取時期や制度上の要件によって、それぞれ退職所得控除の計算対象となり得ます。ただし、過去に受け取った退職手当等との勤続期間の重複がある場合は、控除額の重複を避けるための調整が行われます。</t>
    <phoneticPr fontId="1"/>
  </si>
  <si>
    <t>退職金とDC/DB一時金の受取時期を変えると、法令上の確認対象となる期間や勤続期間の重複状況が変わる可能性があります。その結果、調整後の退職所得控除額、課税退職所得金額、税額、税引後の手取り額が変わる可能性があります。</t>
    <phoneticPr fontId="1"/>
  </si>
  <si>
    <t>受取時期を調整することで、重複調整による退職所得控除額の減少を抑えられる場合があり、その場合は税負担が減り、税引後の手取り額が増える可能性があります。ただし、受取時期を変えれば必ず有利になるわけではなく、DCの運用結果、受取可能年齢、加入期間、他の退職手当等、税率なども影響します。</t>
    <phoneticPr fontId="1"/>
  </si>
  <si>
    <t>会社退職金とDC/DB一時金の受取順序・受取時期を比較し、重複調整の影響を検討するための材料を整理します。現状の重複期間欄は確認用の簡易値であり、申告税額を確定するものではありません。</t>
    <phoneticPr fontId="1"/>
  </si>
  <si>
    <t>DC→会社退職金は9年、会社退職金→DCは19年。
DB→会社退職金は4年、会社退職金→DBは4年。</t>
    <phoneticPr fontId="1"/>
  </si>
  <si>
    <t>会社退職金とDC・DB一時金は、それぞれ退職所得控除の対象となり得ますが、重複期間がある場合は控除額の調整が必要です。</t>
    <phoneticPr fontId="1"/>
  </si>
  <si>
    <t>退職所得控除の調整規定</t>
    <phoneticPr fontId="12"/>
  </si>
  <si>
    <t>■DC（企業型DC・iDeCo）の老齢一時金は税法上「退職手当等」に該当し、退職所得控除が適用される</t>
    <phoneticPr fontId="12"/>
  </si>
  <si>
    <t>■退職手当等の支払を複数受ける場合は、後に支払を受ける退職手当等の退職所得控除を算出するに当たって、過去に支払を受けた</t>
  </si>
  <si>
    <t>　退職手当等と重複する期間の年数に基づく退職所得控除額を控除する仕組みとなっている。</t>
  </si>
  <si>
    <t>退職一時金（DCの老齢一時金を除く）</t>
  </si>
  <si>
    <r>
      <t>前年以前</t>
    </r>
    <r>
      <rPr>
        <b/>
        <u/>
        <sz val="11"/>
        <color theme="1"/>
        <rFont val="游ゴシック"/>
        <family val="3"/>
        <charset val="128"/>
        <scheme val="minor"/>
      </rPr>
      <t>９年内</t>
    </r>
    <r>
      <rPr>
        <sz val="11"/>
        <color theme="1"/>
        <rFont val="游ゴシック"/>
        <family val="2"/>
        <charset val="128"/>
        <scheme val="minor"/>
      </rPr>
      <t>に他の支払者から支払われた退職手当等との重複期間に基づく</t>
    </r>
    <phoneticPr fontId="12"/>
  </si>
  <si>
    <t>の退職所得控除額</t>
  </si>
  <si>
    <t>額を控除した残額</t>
  </si>
  <si>
    <t>DCの老齢一時金の退職所得控除額</t>
  </si>
  <si>
    <r>
      <t>前年以前</t>
    </r>
    <r>
      <rPr>
        <b/>
        <u/>
        <sz val="11"/>
        <color theme="1"/>
        <rFont val="游ゴシック"/>
        <family val="3"/>
        <charset val="128"/>
        <scheme val="minor"/>
      </rPr>
      <t>19年内</t>
    </r>
    <r>
      <rPr>
        <sz val="11"/>
        <color theme="1"/>
        <rFont val="游ゴシック"/>
        <family val="2"/>
        <charset val="128"/>
        <scheme val="minor"/>
      </rPr>
      <t>に他の支払者から支払われた退職手当等との重複期間</t>
    </r>
    <phoneticPr fontId="12"/>
  </si>
  <si>
    <t>に基づく額を控除した残額</t>
  </si>
  <si>
    <t>　https://www.nta.go.jp/taxes/shiraberu/taxanswer/gensen/2732.htm</t>
    <phoneticPr fontId="12"/>
  </si>
  <si>
    <t>退職金・DC/iDeCo「重複期間」図解</t>
    <phoneticPr fontId="12"/>
  </si>
  <si>
    <t>年齢の列を横軸として、会社の勤続期間・DC/iDeCo加入期間・その共通部分を色分けしています。</t>
  </si>
  <si>
    <t>会社：青</t>
  </si>
  <si>
    <t>DC/iDeCo：橙</t>
  </si>
  <si>
    <t>重複：黄</t>
  </si>
  <si>
    <t>年齢</t>
  </si>
  <si>
    <t>ケースA：DC/iDeCo → 退職金</t>
    <phoneticPr fontId="12"/>
  </si>
  <si>
    <t>退職金 65歳</t>
  </si>
  <si>
    <t>会社の勤続期間</t>
  </si>
  <si>
    <t>DC/iDeCo加入期間</t>
  </si>
  <si>
    <t>重複期間</t>
  </si>
  <si>
    <t>受給時点</t>
  </si>
  <si>
    <t xml:space="preserve">DC/iDeCo 60歳 </t>
  </si>
  <si>
    <t>前年以前9年内</t>
    <phoneticPr fontId="12"/>
  </si>
  <si>
    <t>重複期間：30歳～60歳 ＝ 30年間</t>
  </si>
  <si>
    <t>黄色の部分が、会社の勤続期間とDC/iDeCo加入期間の両方に含まれる範囲です。</t>
  </si>
  <si>
    <t>ケースB：退職金 → DC/iDeCo</t>
  </si>
  <si>
    <t>退職金 60歳</t>
    <phoneticPr fontId="12"/>
  </si>
  <si>
    <t xml:space="preserve">DC/iDeCo 65歳 </t>
    <phoneticPr fontId="12"/>
  </si>
  <si>
    <t>前年以前19年内</t>
    <phoneticPr fontId="12"/>
  </si>
  <si>
    <t>■DB(確定給付企業年金 / Defined Benefit Plan)の場合</t>
    <rPh sb="0" eb="39">
      <t>バアイ</t>
    </rPh>
    <phoneticPr fontId="12"/>
  </si>
  <si>
    <t>退職一時金（DCの老齢一時金を除く）</t>
    <phoneticPr fontId="12"/>
  </si>
  <si>
    <r>
      <t>前年以前</t>
    </r>
    <r>
      <rPr>
        <b/>
        <u/>
        <sz val="11"/>
        <color theme="1"/>
        <rFont val="游ゴシック"/>
        <family val="3"/>
        <charset val="128"/>
        <scheme val="minor"/>
      </rPr>
      <t>４年内</t>
    </r>
    <r>
      <rPr>
        <sz val="11"/>
        <color theme="1"/>
        <rFont val="游ゴシック"/>
        <family val="2"/>
        <charset val="128"/>
        <scheme val="minor"/>
      </rPr>
      <t>に他の支払者から支払われた退職手当等との重複期間に基づく</t>
    </r>
    <phoneticPr fontId="12"/>
  </si>
  <si>
    <t>DBの一時金の退職所得控除額</t>
    <phoneticPr fontId="12"/>
  </si>
  <si>
    <r>
      <t>前年以前</t>
    </r>
    <r>
      <rPr>
        <b/>
        <u/>
        <sz val="11"/>
        <color theme="1"/>
        <rFont val="游ゴシック"/>
        <family val="3"/>
        <charset val="128"/>
        <scheme val="minor"/>
      </rPr>
      <t>４年内</t>
    </r>
    <r>
      <rPr>
        <sz val="11"/>
        <color theme="1"/>
        <rFont val="游ゴシック"/>
        <family val="2"/>
        <charset val="128"/>
        <scheme val="minor"/>
      </rPr>
      <t>に他の支払者から支払われた退職手当等（DCの老齢一時金を除く）</t>
    </r>
    <phoneticPr fontId="12"/>
  </si>
  <si>
    <t>との重複期間に基づく額を控除した残額</t>
    <phoneticPr fontId="12"/>
  </si>
  <si>
    <t>退職金・DB「重複期間」図解</t>
    <phoneticPr fontId="12"/>
  </si>
  <si>
    <t>ケースC：DB → 退職金</t>
    <phoneticPr fontId="12"/>
  </si>
  <si>
    <t>DB加入期間</t>
    <phoneticPr fontId="12"/>
  </si>
  <si>
    <t xml:space="preserve">DB 60歳 </t>
    <phoneticPr fontId="12"/>
  </si>
  <si>
    <t>前年以前4年内</t>
    <phoneticPr fontId="12"/>
  </si>
  <si>
    <t>黄色の部分が、会社の勤続期間とDB加入期間の両方に含まれる範囲です。</t>
    <phoneticPr fontId="12"/>
  </si>
  <si>
    <r>
      <t>緑色の部分が重複の調整範囲外のため、</t>
    </r>
    <r>
      <rPr>
        <b/>
        <sz val="11"/>
        <color theme="1"/>
        <rFont val="游ゴシック"/>
        <family val="3"/>
        <charset val="128"/>
        <scheme val="minor"/>
      </rPr>
      <t>重複調整なし。</t>
    </r>
    <rPh sb="0" eb="2">
      <t>ミドリイロ</t>
    </rPh>
    <rPh sb="3" eb="5">
      <t>ブブン</t>
    </rPh>
    <rPh sb="6" eb="8">
      <t>チョウフク</t>
    </rPh>
    <rPh sb="9" eb="11">
      <t>チョウセイ</t>
    </rPh>
    <rPh sb="11" eb="13">
      <t>ハンイ</t>
    </rPh>
    <rPh sb="13" eb="14">
      <t>ガイ</t>
    </rPh>
    <rPh sb="18" eb="20">
      <t>チョウフク</t>
    </rPh>
    <rPh sb="20" eb="22">
      <t>チョウセイ</t>
    </rPh>
    <phoneticPr fontId="12"/>
  </si>
  <si>
    <t>ケースD：退職金 → DB</t>
    <phoneticPr fontId="12"/>
  </si>
  <si>
    <t xml:space="preserve">DB 65歳 </t>
    <phoneticPr fontId="12"/>
  </si>
  <si>
    <t>重複期間：30歳～65歳 ＝ 35年間</t>
  </si>
  <si>
    <t>大切な注意</t>
  </si>
  <si>
    <t>図中の重複期間は、指定された年齢範囲を比較した概念上の期間です。税務上の退職所得控除の調整年数と必ず一致するわけではありません。実際の調整は、受給年・受給順・退職手当等の種類・法令上の対象期間などを確認して行います。</t>
  </si>
  <si>
    <t>年数の数え方</t>
  </si>
  <si>
    <t>この図では「30歳～60歳」を30年間、「30歳～65歳」を35年間とする、年齢差（終了年齢－開始年齢）で表示しています。税務上の勤続年数・加入年数の端数処理とは別です。</t>
  </si>
  <si>
    <t>日付。60歳、65歳退職予定日等に変更</t>
    <rPh sb="5" eb="6">
      <t>サイ</t>
    </rPh>
    <phoneticPr fontId="1"/>
  </si>
  <si>
    <t>DB・DCの受取日を変更した場合の受取順序と退職所得控除の調整対象期間（DB：4年／4年、DC：9年／19年）、および手取り差を比較するための参考表です。ここで設定する受取日は、入力シートの受取日とは別のものです。</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</si>
</sst>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5" formatCode="&quot;¥&quot;#,##0;&quot;¥&quot;\-#,##0"/>
    <numFmt numFmtId="176" formatCode="#&quot;年&quot;"/>
    <numFmt numFmtId="177" formatCode="yyyy/mm/dd"/>
    <numFmt numFmtId="178" formatCode="#,##0&quot;円&quot;"/>
    <numFmt numFmtId="179" formatCode="0.0%"/>
    <numFmt numFmtId="180" formatCode="0&quot;年&quot;"/>
    <numFmt numFmtId="181" formatCode="0_ "/>
  </numFmts>
  <fonts count="20" x14ac:knownFonts="1">
    <font>
      <sz val="11"/>
      <color theme="1"/>
      <name val="游ゴシック"/>
      <family val="2"/>
      <charset val="128"/>
      <scheme val="minor"/>
    </font>
    <font>
      <sz val="6"/>
      <name val="游ゴシック"/>
      <family val="2"/>
      <charset val="128"/>
      <scheme val="minor"/>
    </font>
    <font>
      <u/>
      <sz val="11"/>
      <color theme="10"/>
      <name val="游ゴシック"/>
      <family val="2"/>
      <charset val="128"/>
      <scheme val="minor"/>
    </font>
    <font>
      <sz val="11"/>
      <name val="游ゴシック"/>
      <family val="3"/>
      <charset val="128"/>
      <scheme val="minor"/>
    </font>
    <font>
      <b/>
      <sz val="14"/>
      <color rgb="FFFFFFFF"/>
      <name val="游ゴシック"/>
      <family val="3"/>
      <charset val="128"/>
    </font>
    <font>
      <b/>
      <sz val="11"/>
      <name val="游ゴシック"/>
      <family val="3"/>
      <charset val="128"/>
    </font>
    <font>
      <b/>
      <sz val="11"/>
      <color rgb="FFFFFFFF"/>
      <name val="游ゴシック"/>
      <family val="3"/>
      <charset val="128"/>
    </font>
    <font>
      <b/>
      <sz val="11"/>
      <color rgb="FF9C0006"/>
      <name val="游ゴシック"/>
      <family val="3"/>
      <charset val="128"/>
    </font>
    <font>
      <b/>
      <sz val="12"/>
      <name val="游ゴシック"/>
      <family val="3"/>
      <charset val="128"/>
    </font>
    <font>
      <sz val="12"/>
      <color theme="10"/>
      <name val="游ゴシック"/>
      <family val="2"/>
      <scheme val="minor"/>
    </font>
    <font>
      <b/>
      <sz val="11"/>
      <color theme="1"/>
      <name val="游ゴシック"/>
      <family val="3"/>
      <charset val="128"/>
      <scheme val="minor"/>
    </font>
    <font>
      <sz val="11"/>
      <color theme="1"/>
      <name val="游ゴシック"/>
      <family val="2"/>
      <scheme val="minor"/>
    </font>
    <font>
      <sz val="6"/>
      <name val="游ゴシック"/>
      <family val="3"/>
      <charset val="128"/>
      <scheme val="minor"/>
    </font>
    <font>
      <b/>
      <u/>
      <sz val="11"/>
      <color theme="1"/>
      <name val="游ゴシック"/>
      <family val="3"/>
      <charset val="128"/>
      <scheme val="minor"/>
    </font>
    <font>
      <b/>
      <sz val="17"/>
      <name val="ＭＳ Ｐゴシック"/>
      <family val="3"/>
      <charset val="128"/>
    </font>
    <font>
      <b/>
      <sz val="11"/>
      <name val="ＭＳ Ｐゴシック"/>
      <family val="3"/>
      <charset val="128"/>
    </font>
    <font>
      <sz val="8"/>
      <name val="ＭＳ Ｐゴシック"/>
      <family val="3"/>
      <charset val="128"/>
    </font>
    <font>
      <b/>
      <sz val="12"/>
      <name val="ＭＳ Ｐゴシック"/>
      <family val="3"/>
      <charset val="128"/>
    </font>
    <font>
      <b/>
      <sz val="11"/>
      <color theme="9" tint="-0.249977111117893"/>
      <name val="游ゴシック"/>
      <family val="3"/>
      <charset val="128"/>
      <scheme val="minor"/>
    </font>
    <font>
      <b/>
      <sz val="11"/>
      <name val="游ゴシック"/>
      <family val="3"/>
      <charset val="128"/>
      <scheme val="minor"/>
    </font>
  </fonts>
  <fills count="12">
    <fill>
      <patternFill patternType="none"/>
    </fill>
    <fill>
      <patternFill patternType="gray125"/>
    </fill>
    <fill>
      <patternFill patternType="solid">
        <fgColor theme="0"/>
        <bgColor indexed="64"/>
      </patternFill>
    </fill>
    <fill>
      <patternFill patternType="solid">
        <fgColor rgb="FFFFF2CC"/>
      </patternFill>
    </fill>
    <fill>
      <patternFill patternType="solid">
        <fgColor rgb="FF1F4E78"/>
      </patternFill>
    </fill>
    <fill>
      <patternFill patternType="solid">
        <fgColor rgb="FFFFF2CC"/>
      </patternFill>
    </fill>
    <fill>
      <patternFill patternType="solid">
        <fgColor rgb="FFD9EAF7"/>
      </patternFill>
    </fill>
    <fill>
      <patternFill patternType="solid">
        <fgColor rgb="FFE2F0D9"/>
      </patternFill>
    </fill>
    <fill>
      <patternFill patternType="solid">
        <fgColor rgb="FF00B0F0"/>
        <bgColor indexed="64"/>
      </patternFill>
    </fill>
    <fill>
      <patternFill patternType="solid">
        <fgColor rgb="FFF28E2B"/>
      </patternFill>
    </fill>
    <fill>
      <patternFill patternType="solid">
        <fgColor rgb="FFFFD966"/>
      </patternFill>
    </fill>
    <fill>
      <patternFill patternType="solid">
        <fgColor rgb="FF00B050"/>
        <bgColor indexed="64"/>
      </patternFill>
    </fill>
  </fills>
  <borders count="1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rgb="FFB7B7B7"/>
      </left>
      <right style="thin">
        <color rgb="FFB7B7B7"/>
      </right>
      <top style="thin">
        <color rgb="FFB7B7B7"/>
      </top>
      <bottom style="thin">
        <color rgb="FFB7B7B7"/>
      </bottom>
      <diagonal/>
    </border>
    <border>
      <left/>
      <right/>
      <top/>
      <bottom style="thin">
        <color rgb="FFD9E2F3"/>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bottom style="thin">
        <color rgb="FFB7B7B7"/>
      </bottom>
      <diagonal/>
    </border>
    <border>
      <left/>
      <right/>
      <top style="thin">
        <color rgb="FFB7B7B7"/>
      </top>
      <bottom style="thin">
        <color rgb="FFB7B7B7"/>
      </bottom>
      <diagonal/>
    </border>
  </borders>
  <cellStyleXfs count="3">
    <xf numFmtId="0" fontId="0" fillId="0" borderId="0">
      <alignment vertical="center"/>
    </xf>
    <xf numFmtId="0" fontId="2" fillId="0" borderId="0">
      <alignment vertical="center"/>
    </xf>
    <xf numFmtId="0" fontId="11" fillId="0" borderId="0"/>
  </cellStyleXfs>
  <cellXfs count="104">
    <xf numFmtId="0" fontId="0" fillId="0" borderId="0" xfId="0">
      <alignment vertical="center"/>
    </xf>
    <xf numFmtId="177" fontId="3" fillId="3" borderId="1" xfId="0" applyNumberFormat="1" applyFont="1" applyFill="1" applyBorder="1" applyAlignment="1" applyProtection="1">
      <protection locked="0"/>
    </xf>
    <xf numFmtId="0" fontId="0" fillId="0" borderId="0" xfId="0" applyAlignment="1"/>
    <xf numFmtId="0" fontId="5" fillId="0" borderId="0" xfId="0" applyFont="1" applyAlignment="1"/>
    <xf numFmtId="178" fontId="3" fillId="3" borderId="1" xfId="0" applyNumberFormat="1" applyFont="1" applyFill="1" applyBorder="1" applyAlignment="1" applyProtection="1">
      <protection locked="0"/>
    </xf>
    <xf numFmtId="14" fontId="0" fillId="5" borderId="4" xfId="0" applyNumberFormat="1" applyFill="1" applyBorder="1" applyAlignment="1" applyProtection="1">
      <alignment vertical="center" wrapText="1"/>
      <protection locked="0"/>
    </xf>
    <xf numFmtId="177" fontId="0" fillId="5" borderId="4" xfId="0" applyNumberFormat="1" applyFill="1" applyBorder="1" applyAlignment="1" applyProtection="1">
      <protection locked="0"/>
    </xf>
    <xf numFmtId="177" fontId="0" fillId="5" borderId="5" xfId="0" applyNumberFormat="1" applyFill="1" applyBorder="1" applyAlignment="1" applyProtection="1">
      <alignment vertical="top" wrapText="1"/>
      <protection locked="0"/>
    </xf>
    <xf numFmtId="3" fontId="0" fillId="5" borderId="5" xfId="0" applyNumberFormat="1" applyFill="1" applyBorder="1" applyAlignment="1" applyProtection="1">
      <alignment vertical="top" wrapText="1"/>
      <protection locked="0"/>
    </xf>
    <xf numFmtId="0" fontId="2" fillId="0" borderId="0" xfId="1">
      <alignment vertical="center"/>
    </xf>
    <xf numFmtId="0" fontId="0" fillId="0" borderId="0" xfId="0" applyAlignment="1" applyProtection="1">
      <protection hidden="1"/>
    </xf>
    <xf numFmtId="0" fontId="0" fillId="0" borderId="0" xfId="0" applyProtection="1">
      <alignment vertical="center"/>
      <protection hidden="1"/>
    </xf>
    <xf numFmtId="0" fontId="5" fillId="6" borderId="5" xfId="0" applyFont="1" applyFill="1" applyBorder="1" applyAlignment="1" applyProtection="1">
      <alignment vertical="top" wrapText="1"/>
      <protection hidden="1"/>
    </xf>
    <xf numFmtId="0" fontId="0" fillId="0" borderId="5" xfId="0" applyBorder="1" applyAlignment="1" applyProtection="1">
      <alignment vertical="top" wrapText="1"/>
      <protection hidden="1"/>
    </xf>
    <xf numFmtId="0" fontId="0" fillId="0" borderId="0" xfId="0" applyAlignment="1" applyProtection="1">
      <alignment horizontal="right" vertical="center"/>
      <protection hidden="1"/>
    </xf>
    <xf numFmtId="177" fontId="0" fillId="0" borderId="4" xfId="0" applyNumberFormat="1" applyBorder="1" applyAlignment="1" applyProtection="1">
      <protection hidden="1"/>
    </xf>
    <xf numFmtId="3" fontId="0" fillId="7" borderId="5" xfId="0" applyNumberFormat="1" applyFill="1" applyBorder="1" applyAlignment="1" applyProtection="1">
      <alignment vertical="top" wrapText="1"/>
      <protection hidden="1"/>
    </xf>
    <xf numFmtId="0" fontId="0" fillId="0" borderId="0" xfId="0" applyAlignment="1" applyProtection="1">
      <alignment horizontal="left" vertical="top" wrapText="1"/>
      <protection hidden="1"/>
    </xf>
    <xf numFmtId="0" fontId="5" fillId="0" borderId="5" xfId="0" applyFont="1" applyBorder="1" applyAlignment="1" applyProtection="1">
      <alignment vertical="top" wrapText="1"/>
      <protection hidden="1"/>
    </xf>
    <xf numFmtId="0" fontId="7" fillId="0" borderId="5" xfId="0" applyFont="1" applyBorder="1" applyAlignment="1" applyProtection="1">
      <alignment vertical="top" wrapText="1"/>
      <protection hidden="1"/>
    </xf>
    <xf numFmtId="0" fontId="0" fillId="7" borderId="5" xfId="0" applyFill="1" applyBorder="1" applyAlignment="1" applyProtection="1">
      <alignment vertical="top" wrapText="1"/>
      <protection hidden="1"/>
    </xf>
    <xf numFmtId="177" fontId="0" fillId="7" borderId="5" xfId="0" applyNumberFormat="1" applyFill="1" applyBorder="1" applyAlignment="1" applyProtection="1">
      <alignment vertical="top" wrapText="1"/>
      <protection hidden="1"/>
    </xf>
    <xf numFmtId="0" fontId="5" fillId="6" borderId="4" xfId="0" applyFont="1" applyFill="1" applyBorder="1" applyAlignment="1" applyProtection="1">
      <alignment horizontal="center" vertical="center" wrapText="1"/>
      <protection hidden="1"/>
    </xf>
    <xf numFmtId="0" fontId="5" fillId="6" borderId="0" xfId="0" applyFont="1" applyFill="1" applyAlignment="1" applyProtection="1">
      <alignment horizontal="center" vertical="center" wrapText="1"/>
      <protection hidden="1"/>
    </xf>
    <xf numFmtId="0" fontId="0" fillId="0" borderId="4" xfId="0" applyBorder="1" applyAlignment="1" applyProtection="1">
      <alignment vertical="center" wrapText="1"/>
      <protection hidden="1"/>
    </xf>
    <xf numFmtId="14" fontId="0" fillId="7" borderId="4" xfId="0" applyNumberFormat="1" applyFill="1" applyBorder="1" applyAlignment="1" applyProtection="1">
      <alignment vertical="center" wrapText="1"/>
      <protection hidden="1"/>
    </xf>
    <xf numFmtId="5" fontId="0" fillId="7" borderId="4" xfId="0" applyNumberFormat="1" applyFill="1" applyBorder="1" applyAlignment="1" applyProtection="1">
      <alignment vertical="center" wrapText="1"/>
      <protection hidden="1"/>
    </xf>
    <xf numFmtId="3" fontId="0" fillId="7" borderId="4" xfId="0" applyNumberFormat="1" applyFill="1" applyBorder="1" applyAlignment="1" applyProtection="1">
      <alignment vertical="center" wrapText="1"/>
      <protection hidden="1"/>
    </xf>
    <xf numFmtId="5" fontId="0" fillId="7" borderId="0" xfId="0" applyNumberFormat="1" applyFill="1" applyAlignment="1" applyProtection="1">
      <alignment vertical="center" wrapText="1"/>
      <protection hidden="1"/>
    </xf>
    <xf numFmtId="180" fontId="0" fillId="7" borderId="0" xfId="0" applyNumberFormat="1" applyFill="1" applyAlignment="1" applyProtection="1">
      <alignment vertical="center" wrapText="1"/>
      <protection hidden="1"/>
    </xf>
    <xf numFmtId="14" fontId="0" fillId="7" borderId="0" xfId="0" applyNumberFormat="1" applyFill="1" applyAlignment="1" applyProtection="1">
      <alignment vertical="center" wrapText="1"/>
      <protection hidden="1"/>
    </xf>
    <xf numFmtId="9" fontId="0" fillId="7" borderId="0" xfId="0" applyNumberFormat="1" applyFill="1" applyAlignment="1" applyProtection="1">
      <alignment vertical="center" wrapText="1"/>
      <protection hidden="1"/>
    </xf>
    <xf numFmtId="180" fontId="0" fillId="0" borderId="0" xfId="0" applyNumberFormat="1" applyProtection="1">
      <alignment vertical="center"/>
      <protection hidden="1"/>
    </xf>
    <xf numFmtId="181" fontId="0" fillId="0" borderId="0" xfId="0" applyNumberFormat="1" applyProtection="1">
      <alignment vertical="center"/>
      <protection hidden="1"/>
    </xf>
    <xf numFmtId="5" fontId="0" fillId="0" borderId="0" xfId="0" applyNumberFormat="1" applyProtection="1">
      <alignment vertical="center"/>
      <protection hidden="1"/>
    </xf>
    <xf numFmtId="9" fontId="0" fillId="0" borderId="0" xfId="0" applyNumberFormat="1" applyProtection="1">
      <alignment vertical="center"/>
      <protection hidden="1"/>
    </xf>
    <xf numFmtId="0" fontId="8" fillId="0" borderId="0" xfId="0" applyFont="1" applyAlignment="1" applyProtection="1">
      <protection hidden="1"/>
    </xf>
    <xf numFmtId="14" fontId="0" fillId="0" borderId="0" xfId="0" applyNumberFormat="1" applyAlignment="1" applyProtection="1">
      <alignment vertical="center" wrapText="1"/>
      <protection hidden="1"/>
    </xf>
    <xf numFmtId="0" fontId="5" fillId="6" borderId="4" xfId="0" applyFont="1" applyFill="1" applyBorder="1" applyAlignment="1" applyProtection="1">
      <protection hidden="1"/>
    </xf>
    <xf numFmtId="0" fontId="0" fillId="0" borderId="0" xfId="0" applyAlignment="1" applyProtection="1">
      <alignment vertical="top"/>
      <protection hidden="1"/>
    </xf>
    <xf numFmtId="0" fontId="0" fillId="0" borderId="0" xfId="0" applyAlignment="1" applyProtection="1">
      <alignment vertical="top" wrapText="1"/>
      <protection hidden="1"/>
    </xf>
    <xf numFmtId="0" fontId="5" fillId="0" borderId="0" xfId="0" applyFont="1" applyAlignment="1" applyProtection="1">
      <protection hidden="1"/>
    </xf>
    <xf numFmtId="0" fontId="9" fillId="0" borderId="0" xfId="0" applyFont="1" applyAlignment="1" applyProtection="1">
      <protection hidden="1"/>
    </xf>
    <xf numFmtId="0" fontId="0" fillId="0" borderId="1" xfId="0" applyBorder="1" applyProtection="1">
      <alignment vertical="center"/>
      <protection hidden="1"/>
    </xf>
    <xf numFmtId="176" fontId="0" fillId="0" borderId="1" xfId="0" applyNumberFormat="1" applyBorder="1" applyProtection="1">
      <alignment vertical="center"/>
      <protection hidden="1"/>
    </xf>
    <xf numFmtId="178" fontId="0" fillId="0" borderId="1" xfId="0" applyNumberFormat="1" applyBorder="1" applyProtection="1">
      <alignment vertical="center"/>
      <protection hidden="1"/>
    </xf>
    <xf numFmtId="179" fontId="0" fillId="0" borderId="1" xfId="0" applyNumberFormat="1" applyBorder="1" applyProtection="1">
      <alignment vertical="center"/>
      <protection hidden="1"/>
    </xf>
    <xf numFmtId="0" fontId="0" fillId="2" borderId="0" xfId="0" applyFill="1" applyProtection="1">
      <alignment vertical="center"/>
      <protection hidden="1"/>
    </xf>
    <xf numFmtId="0" fontId="0" fillId="2" borderId="1" xfId="0" applyFill="1" applyBorder="1" applyProtection="1">
      <alignment vertical="center"/>
      <protection hidden="1"/>
    </xf>
    <xf numFmtId="9" fontId="0" fillId="2" borderId="1" xfId="0" applyNumberFormat="1" applyFill="1" applyBorder="1" applyProtection="1">
      <alignment vertical="center"/>
      <protection hidden="1"/>
    </xf>
    <xf numFmtId="178" fontId="0" fillId="0" borderId="1" xfId="0" applyNumberFormat="1" applyBorder="1" applyAlignment="1" applyProtection="1">
      <protection hidden="1"/>
    </xf>
    <xf numFmtId="3" fontId="0" fillId="2" borderId="1" xfId="0" applyNumberFormat="1" applyFill="1" applyBorder="1" applyProtection="1">
      <alignment vertical="center"/>
      <protection hidden="1"/>
    </xf>
    <xf numFmtId="0" fontId="0" fillId="2" borderId="2" xfId="0" applyFill="1" applyBorder="1" applyProtection="1">
      <alignment vertical="center"/>
      <protection hidden="1"/>
    </xf>
    <xf numFmtId="0" fontId="0" fillId="0" borderId="3" xfId="0" applyBorder="1" applyProtection="1">
      <alignment vertical="center"/>
      <protection hidden="1"/>
    </xf>
    <xf numFmtId="0" fontId="0" fillId="2" borderId="3" xfId="0" applyFill="1" applyBorder="1" applyProtection="1">
      <alignment vertical="center"/>
      <protection hidden="1"/>
    </xf>
    <xf numFmtId="0" fontId="2" fillId="0" borderId="0" xfId="1" applyProtection="1">
      <alignment vertical="center"/>
      <protection hidden="1"/>
    </xf>
    <xf numFmtId="3" fontId="5" fillId="0" borderId="4" xfId="0" applyNumberFormat="1" applyFont="1" applyBorder="1" applyAlignment="1"/>
    <xf numFmtId="9" fontId="5" fillId="0" borderId="4" xfId="0" applyNumberFormat="1" applyFont="1" applyBorder="1" applyAlignment="1"/>
    <xf numFmtId="3" fontId="0" fillId="0" borderId="4" xfId="0" applyNumberFormat="1" applyBorder="1" applyAlignment="1"/>
    <xf numFmtId="9" fontId="0" fillId="0" borderId="4" xfId="0" applyNumberFormat="1" applyBorder="1" applyAlignment="1"/>
    <xf numFmtId="0" fontId="2" fillId="0" borderId="0" xfId="1" applyProtection="1">
      <alignment vertical="center"/>
      <protection locked="0" hidden="1"/>
    </xf>
    <xf numFmtId="0" fontId="11" fillId="0" borderId="0" xfId="2"/>
    <xf numFmtId="0" fontId="11" fillId="0" borderId="6" xfId="2" applyBorder="1"/>
    <xf numFmtId="0" fontId="11" fillId="0" borderId="7" xfId="2" applyBorder="1"/>
    <xf numFmtId="0" fontId="11" fillId="0" borderId="8" xfId="2" applyBorder="1"/>
    <xf numFmtId="0" fontId="11" fillId="0" borderId="9" xfId="2" applyBorder="1"/>
    <xf numFmtId="0" fontId="11" fillId="0" borderId="10" xfId="2" applyBorder="1"/>
    <xf numFmtId="0" fontId="11" fillId="0" borderId="11" xfId="2" applyBorder="1"/>
    <xf numFmtId="0" fontId="11" fillId="0" borderId="12" xfId="2" applyBorder="1"/>
    <xf numFmtId="0" fontId="11" fillId="8" borderId="12" xfId="2" applyFill="1" applyBorder="1"/>
    <xf numFmtId="0" fontId="11" fillId="9" borderId="13" xfId="2" applyFill="1" applyBorder="1"/>
    <xf numFmtId="0" fontId="11" fillId="10" borderId="13" xfId="2" applyFill="1" applyBorder="1"/>
    <xf numFmtId="0" fontId="15" fillId="0" borderId="4" xfId="2" applyFont="1" applyBorder="1"/>
    <xf numFmtId="0" fontId="16" fillId="0" borderId="4" xfId="2" applyFont="1" applyBorder="1" applyAlignment="1">
      <alignment horizontal="center"/>
    </xf>
    <xf numFmtId="0" fontId="16" fillId="0" borderId="0" xfId="2" applyFont="1" applyAlignment="1">
      <alignment horizontal="center"/>
    </xf>
    <xf numFmtId="0" fontId="17" fillId="0" borderId="0" xfId="2" applyFont="1"/>
    <xf numFmtId="0" fontId="10" fillId="0" borderId="0" xfId="2" applyFont="1" applyAlignment="1">
      <alignment horizontal="right"/>
    </xf>
    <xf numFmtId="0" fontId="11" fillId="0" borderId="4" xfId="2" applyBorder="1"/>
    <xf numFmtId="0" fontId="11" fillId="8" borderId="4" xfId="2" applyFill="1" applyBorder="1"/>
    <xf numFmtId="0" fontId="11" fillId="9" borderId="4" xfId="2" applyFill="1" applyBorder="1"/>
    <xf numFmtId="0" fontId="11" fillId="10" borderId="4" xfId="2" applyFill="1" applyBorder="1"/>
    <xf numFmtId="0" fontId="18" fillId="0" borderId="0" xfId="2" applyFont="1" applyAlignment="1">
      <alignment horizontal="right"/>
    </xf>
    <xf numFmtId="0" fontId="11" fillId="11" borderId="4" xfId="2" applyFill="1" applyBorder="1"/>
    <xf numFmtId="0" fontId="19" fillId="0" borderId="0" xfId="2" applyFont="1" applyAlignment="1">
      <alignment horizontal="left"/>
    </xf>
    <xf numFmtId="0" fontId="0" fillId="0" borderId="0" xfId="0" applyAlignment="1" applyProtection="1">
      <alignment horizontal="left" vertical="top" wrapText="1"/>
      <protection hidden="1"/>
    </xf>
    <xf numFmtId="0" fontId="4" fillId="4" borderId="0" xfId="0" applyFont="1" applyFill="1" applyAlignment="1" applyProtection="1">
      <alignment horizontal="center" vertical="top" wrapText="1"/>
      <protection hidden="1"/>
    </xf>
    <xf numFmtId="0" fontId="0" fillId="0" borderId="5" xfId="0" applyBorder="1" applyAlignment="1" applyProtection="1">
      <alignment horizontal="left" vertical="top" wrapText="1"/>
      <protection hidden="1"/>
    </xf>
    <xf numFmtId="0" fontId="6" fillId="4" borderId="0" xfId="0" applyFont="1" applyFill="1" applyAlignment="1" applyProtection="1">
      <alignment horizontal="left" vertical="top" wrapText="1"/>
      <protection hidden="1"/>
    </xf>
    <xf numFmtId="0" fontId="11" fillId="0" borderId="0" xfId="2" applyAlignment="1">
      <alignment wrapText="1"/>
    </xf>
    <xf numFmtId="0" fontId="11" fillId="0" borderId="0" xfId="2"/>
    <xf numFmtId="0" fontId="15" fillId="0" borderId="0" xfId="2" applyFont="1"/>
    <xf numFmtId="0" fontId="11" fillId="0" borderId="0" xfId="2" applyAlignment="1">
      <alignment vertical="top" wrapText="1"/>
    </xf>
    <xf numFmtId="0" fontId="14" fillId="2" borderId="0" xfId="2" applyFont="1" applyFill="1"/>
    <xf numFmtId="0" fontId="11" fillId="2" borderId="0" xfId="2" applyFill="1"/>
    <xf numFmtId="0" fontId="11" fillId="2" borderId="0" xfId="2" applyFill="1" applyAlignment="1">
      <alignment wrapText="1"/>
    </xf>
    <xf numFmtId="0" fontId="6" fillId="4" borderId="5" xfId="0" applyFont="1" applyFill="1" applyBorder="1" applyAlignment="1" applyProtection="1">
      <alignment vertical="top" wrapText="1"/>
      <protection hidden="1"/>
    </xf>
    <xf numFmtId="0" fontId="0" fillId="0" borderId="0" xfId="0" applyAlignment="1" applyProtection="1">
      <protection hidden="1"/>
    </xf>
    <xf numFmtId="0" fontId="4" fillId="4" borderId="5" xfId="0" applyFont="1" applyFill="1" applyBorder="1" applyAlignment="1" applyProtection="1">
      <alignment horizontal="center" vertical="top" wrapText="1"/>
      <protection hidden="1"/>
    </xf>
    <xf numFmtId="0" fontId="0" fillId="0" borderId="5" xfId="0" applyBorder="1" applyAlignment="1" applyProtection="1">
      <alignment vertical="top" wrapText="1"/>
      <protection hidden="1"/>
    </xf>
    <xf numFmtId="0" fontId="4" fillId="4" borderId="0" xfId="0" applyFont="1" applyFill="1" applyAlignment="1" applyProtection="1">
      <alignment horizontal="center"/>
      <protection hidden="1"/>
    </xf>
    <xf numFmtId="0" fontId="4" fillId="4" borderId="0" xfId="0" applyFont="1" applyFill="1" applyAlignment="1"/>
    <xf numFmtId="0" fontId="0" fillId="0" borderId="0" xfId="0" applyAlignment="1"/>
    <xf numFmtId="0" fontId="0" fillId="0" borderId="0" xfId="0" applyAlignment="1">
      <alignment vertical="top" wrapText="1"/>
    </xf>
    <xf numFmtId="0" fontId="2" fillId="0" borderId="0" xfId="1">
      <alignment vertical="center"/>
    </xf>
  </cellXfs>
  <cellStyles count="3">
    <cellStyle name="ハイパーリンク" xfId="1" builtinId="8"/>
    <cellStyle name="標準" xfId="0" builtinId="0"/>
    <cellStyle name="標準 2" xfId="2" xr:uid="{32AC61CE-BE69-4D48-8FBD-690D7973CA59}"/>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s>
</file>

<file path=xl/drawings/_rels/vmlDrawing3.vml.rels><?xml version="1.0" encoding="UTF-8" standalone="yes"?>
<Relationships xmlns="http://schemas.openxmlformats.org/package/2006/relationships"><Relationship Id="rId3" Type="http://schemas.openxmlformats.org/officeDocument/2006/relationships/image" Target="../media/image6.emf"/><Relationship Id="rId2" Type="http://schemas.openxmlformats.org/officeDocument/2006/relationships/image" Target="../media/image5.emf"/><Relationship Id="rId1" Type="http://schemas.openxmlformats.org/officeDocument/2006/relationships/image" Target="../media/image4.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4</xdr:col>
          <xdr:colOff>124557</xdr:colOff>
          <xdr:row>17</xdr:row>
          <xdr:rowOff>0</xdr:rowOff>
        </xdr:from>
        <xdr:to>
          <xdr:col>8</xdr:col>
          <xdr:colOff>507022</xdr:colOff>
          <xdr:row>26</xdr:row>
          <xdr:rowOff>19050</xdr:rowOff>
        </xdr:to>
        <xdr:pic>
          <xdr:nvPicPr>
            <xdr:cNvPr id="2" name="図 1">
              <a:extLst>
                <a:ext uri="{FF2B5EF4-FFF2-40B4-BE49-F238E27FC236}">
                  <a16:creationId xmlns:a16="http://schemas.microsoft.com/office/drawing/2014/main" id="{EEA8256B-AD71-45CC-A825-82A8358F51E3}"/>
                </a:ext>
              </a:extLst>
            </xdr:cNvPr>
            <xdr:cNvPicPr>
              <a:picLocks noChangeAspect="1" noChangeArrowheads="1"/>
              <a:extLst>
                <a:ext uri="{84589F7E-364E-4C9E-8A38-B11213B215E9}">
                  <a14:cameraTool cellRange="$R$12:$T$20" spid="_x0000_s4453"/>
                </a:ext>
              </a:extLst>
            </xdr:cNvPicPr>
          </xdr:nvPicPr>
          <xdr:blipFill>
            <a:blip xmlns:r="http://schemas.openxmlformats.org/officeDocument/2006/relationships" r:embed="rId1"/>
            <a:srcRect/>
            <a:stretch>
              <a:fillRect/>
            </a:stretch>
          </xdr:blipFill>
          <xdr:spPr bwMode="auto">
            <a:xfrm>
              <a:off x="4315557" y="3626827"/>
              <a:ext cx="3738196" cy="2195146"/>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161192</xdr:colOff>
          <xdr:row>17</xdr:row>
          <xdr:rowOff>58616</xdr:rowOff>
        </xdr:from>
        <xdr:to>
          <xdr:col>3</xdr:col>
          <xdr:colOff>896815</xdr:colOff>
          <xdr:row>24</xdr:row>
          <xdr:rowOff>68142</xdr:rowOff>
        </xdr:to>
        <xdr:pic>
          <xdr:nvPicPr>
            <xdr:cNvPr id="3" name="図 2">
              <a:extLst>
                <a:ext uri="{FF2B5EF4-FFF2-40B4-BE49-F238E27FC236}">
                  <a16:creationId xmlns:a16="http://schemas.microsoft.com/office/drawing/2014/main" id="{77E30D82-56FA-4AAC-8B83-E9F7459085D4}"/>
                </a:ext>
              </a:extLst>
            </xdr:cNvPr>
            <xdr:cNvPicPr>
              <a:picLocks noChangeAspect="1" noChangeArrowheads="1"/>
              <a:extLst>
                <a:ext uri="{84589F7E-364E-4C9E-8A38-B11213B215E9}">
                  <a14:cameraTool cellRange="$N$12:$O$18" spid="_x0000_s4454"/>
                </a:ext>
              </a:extLst>
            </xdr:cNvPicPr>
          </xdr:nvPicPr>
          <xdr:blipFill>
            <a:blip xmlns:r="http://schemas.openxmlformats.org/officeDocument/2006/relationships" r:embed="rId2"/>
            <a:srcRect/>
            <a:stretch>
              <a:fillRect/>
            </a:stretch>
          </xdr:blipFill>
          <xdr:spPr bwMode="auto">
            <a:xfrm>
              <a:off x="161192" y="3685443"/>
              <a:ext cx="3776296" cy="1702045"/>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175846</xdr:colOff>
          <xdr:row>26</xdr:row>
          <xdr:rowOff>124558</xdr:rowOff>
        </xdr:from>
        <xdr:to>
          <xdr:col>5</xdr:col>
          <xdr:colOff>632313</xdr:colOff>
          <xdr:row>30</xdr:row>
          <xdr:rowOff>134083</xdr:rowOff>
        </xdr:to>
        <xdr:pic>
          <xdr:nvPicPr>
            <xdr:cNvPr id="4" name="図 3">
              <a:extLst>
                <a:ext uri="{FF2B5EF4-FFF2-40B4-BE49-F238E27FC236}">
                  <a16:creationId xmlns:a16="http://schemas.microsoft.com/office/drawing/2014/main" id="{6B83C835-5DFC-445D-AC87-A97F087BCB0F}"/>
                </a:ext>
              </a:extLst>
            </xdr:cNvPr>
            <xdr:cNvPicPr>
              <a:picLocks noChangeAspect="1" noChangeArrowheads="1"/>
              <a:extLst>
                <a:ext uri="{84589F7E-364E-4C9E-8A38-B11213B215E9}">
                  <a14:cameraTool cellRange="$V$12:$V$15" spid="_x0000_s4455"/>
                </a:ext>
              </a:extLst>
            </xdr:cNvPicPr>
          </xdr:nvPicPr>
          <xdr:blipFill>
            <a:blip xmlns:r="http://schemas.openxmlformats.org/officeDocument/2006/relationships" r:embed="rId3"/>
            <a:srcRect/>
            <a:stretch>
              <a:fillRect/>
            </a:stretch>
          </xdr:blipFill>
          <xdr:spPr bwMode="auto">
            <a:xfrm>
              <a:off x="175846" y="5927481"/>
              <a:ext cx="5636602" cy="976679"/>
            </a:xfrm>
            <a:prstGeom prst="rect">
              <a:avLst/>
            </a:prstGeom>
            <a:noFill/>
            <a:extLst>
              <a:ext uri="{909E8E84-426E-40DD-AFC4-6F175D3DCCD1}">
                <a14:hiddenFill>
                  <a:solidFill>
                    <a:srgbClr val="FFFFFF"/>
                  </a:solidFill>
                </a14:hiddenFill>
              </a:ext>
            </a:extLst>
          </xdr:spPr>
        </xdr:pic>
        <xdr:clientData/>
      </xdr:twoCellAnchor>
    </mc:Choice>
    <mc:Fallback/>
  </mc:AlternateContent>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github.com/pukkunk/retirement-income-tax-dc-excel/blob/main/README.md" TargetMode="Externa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hyperlink" Target="https://www.nta.go.jp/taxes/shiraberu/taxanswer/gensen/2507.htm" TargetMode="External"/><Relationship Id="rId7" Type="http://schemas.openxmlformats.org/officeDocument/2006/relationships/vmlDrawing" Target="../drawings/vmlDrawing3.vml"/><Relationship Id="rId2" Type="http://schemas.openxmlformats.org/officeDocument/2006/relationships/hyperlink" Target="https://www.nta.go.jp/taxes/shiraberu/taxanswer/shotoku/2260.htm" TargetMode="External"/><Relationship Id="rId1" Type="http://schemas.openxmlformats.org/officeDocument/2006/relationships/hyperlink" Target="https://www.nta.go.jp/taxes/shiraberu/taxanswer/shotoku/1420.htm" TargetMode="External"/><Relationship Id="rId6" Type="http://schemas.openxmlformats.org/officeDocument/2006/relationships/drawing" Target="../drawings/drawing1.xml"/><Relationship Id="rId5" Type="http://schemas.openxmlformats.org/officeDocument/2006/relationships/printerSettings" Target="../printerSettings/printerSettings4.bin"/><Relationship Id="rId4" Type="http://schemas.openxmlformats.org/officeDocument/2006/relationships/hyperlink" Target="https://www.soumu.go.jp/main_sosiki/jichi_zeisei/czaisei/65871.html"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www.nta.go.jp/taxes/shiraberu/taxanswer/gensen/2741.htm" TargetMode="External"/><Relationship Id="rId2" Type="http://schemas.openxmlformats.org/officeDocument/2006/relationships/hyperlink" Target="https://www.nta.go.jp/taxes/shiraberu/taxanswer/gensen/2732.htm" TargetMode="External"/><Relationship Id="rId1" Type="http://schemas.openxmlformats.org/officeDocument/2006/relationships/hyperlink" Target="https://www.nta.go.jp/taxes/shiraberu/taxanswer/shotoku/1420.htm" TargetMode="External"/><Relationship Id="rId6" Type="http://schemas.openxmlformats.org/officeDocument/2006/relationships/comments" Target="../comments3.xml"/><Relationship Id="rId5" Type="http://schemas.openxmlformats.org/officeDocument/2006/relationships/vmlDrawing" Target="../drawings/vmlDrawing4.vml"/><Relationship Id="rId4"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38"/>
  <sheetViews>
    <sheetView showGridLines="0" tabSelected="1" workbookViewId="0">
      <pane ySplit="5" topLeftCell="A6" activePane="bottomLeft" state="frozen"/>
      <selection pane="bottomLeft" activeCell="B6" sqref="B6"/>
    </sheetView>
  </sheetViews>
  <sheetFormatPr defaultRowHeight="18.75" x14ac:dyDescent="0.4"/>
  <cols>
    <col min="1" max="1" width="34" style="10" customWidth="1"/>
    <col min="2" max="2" width="22.25" style="10" customWidth="1"/>
    <col min="3" max="3" width="96.875" style="10" customWidth="1"/>
    <col min="4" max="4" width="8.5" style="10" customWidth="1"/>
    <col min="5" max="5" width="9" style="11"/>
    <col min="6" max="6" width="11.375" style="11" bestFit="1" customWidth="1"/>
    <col min="7" max="16384" width="9" style="11"/>
  </cols>
  <sheetData>
    <row r="1" spans="1:6" ht="18.75" customHeight="1" x14ac:dyDescent="0.4">
      <c r="A1" s="85" t="s">
        <v>213</v>
      </c>
      <c r="B1" s="85"/>
      <c r="C1" s="85"/>
    </row>
    <row r="2" spans="1:6" x14ac:dyDescent="0.4">
      <c r="A2" s="10" t="s">
        <v>215</v>
      </c>
    </row>
    <row r="3" spans="1:6" x14ac:dyDescent="0.4">
      <c r="A3" s="10" t="s">
        <v>214</v>
      </c>
    </row>
    <row r="5" spans="1:6" x14ac:dyDescent="0.4">
      <c r="A5" s="12" t="s">
        <v>0</v>
      </c>
      <c r="B5" s="12" t="s">
        <v>1</v>
      </c>
      <c r="C5" s="12" t="s">
        <v>2</v>
      </c>
    </row>
    <row r="6" spans="1:6" x14ac:dyDescent="0.4">
      <c r="A6" s="10" t="s">
        <v>210</v>
      </c>
      <c r="B6" s="8" t="s">
        <v>212</v>
      </c>
      <c r="C6" s="11" t="s">
        <v>211</v>
      </c>
    </row>
    <row r="7" spans="1:6" ht="18.75" customHeight="1" x14ac:dyDescent="0.4">
      <c r="A7" s="13" t="s">
        <v>3</v>
      </c>
      <c r="B7" s="7">
        <v>33329</v>
      </c>
      <c r="C7" s="13" t="s">
        <v>4</v>
      </c>
      <c r="E7" s="11" t="s">
        <v>189</v>
      </c>
      <c r="F7" s="6">
        <v>25689</v>
      </c>
    </row>
    <row r="8" spans="1:6" ht="18.75" customHeight="1" x14ac:dyDescent="0.4">
      <c r="A8" s="13" t="s">
        <v>5</v>
      </c>
      <c r="B8" s="7">
        <v>47634</v>
      </c>
      <c r="C8" s="13" t="s">
        <v>277</v>
      </c>
      <c r="E8" s="14" t="s">
        <v>130</v>
      </c>
      <c r="F8" s="15" t="str">
        <f>DATEDIF($F$7, B8, "Y") &amp; "歳" &amp; DATEDIF($F$7, B8, "YM") &amp; "ヶ月"</f>
        <v>60歳0ヶ月</v>
      </c>
    </row>
    <row r="9" spans="1:6" ht="18.75" customHeight="1" x14ac:dyDescent="0.4">
      <c r="A9" s="13" t="s">
        <v>6</v>
      </c>
      <c r="B9" s="7">
        <v>47634</v>
      </c>
      <c r="C9" s="13" t="s">
        <v>7</v>
      </c>
    </row>
    <row r="10" spans="1:6" ht="18.75" customHeight="1" x14ac:dyDescent="0.4">
      <c r="A10" s="13" t="s">
        <v>8</v>
      </c>
      <c r="B10" s="8">
        <v>1000000</v>
      </c>
      <c r="C10" s="13" t="s">
        <v>9</v>
      </c>
    </row>
    <row r="11" spans="1:6" ht="18.75" customHeight="1" x14ac:dyDescent="0.4">
      <c r="A11" s="13" t="str">
        <f>$B$6&amp;"の控除計算用加入開始日"</f>
        <v>DCの控除計算用加入開始日</v>
      </c>
      <c r="B11" s="7">
        <v>36982</v>
      </c>
      <c r="C11" s="13" t="s">
        <v>10</v>
      </c>
    </row>
    <row r="12" spans="1:6" ht="18.75" customHeight="1" x14ac:dyDescent="0.4">
      <c r="A12" s="13" t="str">
        <f>$B$6&amp;"の控除計算用加入終了日"</f>
        <v>DCの控除計算用加入終了日</v>
      </c>
      <c r="B12" s="7">
        <v>49460</v>
      </c>
      <c r="C12" s="13" t="s">
        <v>10</v>
      </c>
      <c r="E12" s="11" t="s">
        <v>190</v>
      </c>
      <c r="F12" s="11" t="str">
        <f>DATEDIF($F$7, B12, "Y") &amp; "歳" &amp; DATEDIF($F$7, B12, "YM") &amp; "ヶ月"</f>
        <v>65歳0ヶ月</v>
      </c>
    </row>
    <row r="13" spans="1:6" ht="18.75" customHeight="1" x14ac:dyDescent="0.4">
      <c r="A13" s="13" t="str">
        <f>$B$6&amp;"一時金の受取日"</f>
        <v>DC一時金の受取日</v>
      </c>
      <c r="B13" s="7">
        <v>49460</v>
      </c>
      <c r="C13" s="13" t="s">
        <v>11</v>
      </c>
    </row>
    <row r="14" spans="1:6" ht="18.75" customHeight="1" x14ac:dyDescent="0.4">
      <c r="A14" s="13" t="str">
        <f>$B$6&amp;"一時金額"</f>
        <v>DC一時金額</v>
      </c>
      <c r="B14" s="8">
        <v>25000000</v>
      </c>
      <c r="C14" s="13" t="s">
        <v>12</v>
      </c>
    </row>
    <row r="15" spans="1:6" x14ac:dyDescent="0.4">
      <c r="A15" s="10" t="str">
        <f>B6&amp;"→会社退職金の調整対象期間"</f>
        <v>DC→会社退職金の調整対象期間</v>
      </c>
      <c r="B15" s="16">
        <f>IF(B6="DC",9,4)</f>
        <v>9</v>
      </c>
      <c r="C15" s="10" t="str">
        <f>IF($B$6="DC","DC一時金を先に受け取る場合、2026年1月1日以後に支払を受けたDC一時金について、国税庁の定める条件に該当する前年以前9年内の退職手当等が調整対象となります。","DB一時金を先に受け取り、会社退職金を後で受け取る場合は4年の取扱い。")</f>
        <v>DC一時金を先に受け取る場合、2026年1月1日以後に支払を受けたDC一時金について、国税庁の定める条件に該当する前年以前9年内の退職手当等が調整対象となります。</v>
      </c>
    </row>
    <row r="16" spans="1:6" x14ac:dyDescent="0.4">
      <c r="A16" s="13" t="str">
        <f>"会社退職金→"&amp;B6&amp;"の調整対象期間"</f>
        <v>会社退職金→DCの調整対象期間</v>
      </c>
      <c r="B16" s="16">
        <f>IF(B6="DC",19,4)</f>
        <v>19</v>
      </c>
      <c r="C16" s="10" t="str">
        <f>IF($B$6="DC","会社退職金を先に受け取り、DC一時金を後で受け取る場合は19年の取扱い。","会社退職金を先に受け取り、DB一時金を後で受け取る場合は4年の取扱い。")</f>
        <v>会社退職金を先に受け取り、DC一時金を後で受け取る場合は19年の取扱い。</v>
      </c>
    </row>
    <row r="17" spans="1:4" ht="18.75" customHeight="1" x14ac:dyDescent="0.4">
      <c r="A17" s="10" t="s">
        <v>13</v>
      </c>
    </row>
    <row r="18" spans="1:4" ht="18.75" customHeight="1" x14ac:dyDescent="0.4">
      <c r="A18" s="10" t="s">
        <v>14</v>
      </c>
      <c r="B18" s="16" t="str">
        <f>IF(OR(B9="",B13=""),"",IF(B13&lt;B9,B6&amp;" → 会社退職金",IF(B13&gt;B9,"会社退職金 → "&amp;B6,"同日受取：要確認")))</f>
        <v>会社退職金 → DC</v>
      </c>
      <c r="C18" s="10" t="s">
        <v>15</v>
      </c>
    </row>
    <row r="19" spans="1:4" ht="18.75" customHeight="1" x14ac:dyDescent="0.4">
      <c r="A19" s="12" t="s">
        <v>16</v>
      </c>
      <c r="B19" s="12" t="s">
        <v>17</v>
      </c>
      <c r="C19" s="12" t="s">
        <v>18</v>
      </c>
    </row>
    <row r="20" spans="1:4" ht="18.75" customHeight="1" x14ac:dyDescent="0.4">
      <c r="A20" s="13" t="s">
        <v>19</v>
      </c>
      <c r="B20" s="16">
        <f>IF(OR(B7="",B8=""),"",DATEDIF(B7,B8+1,"Y")+IF(DATEDIF(B7,B8+1,"YM")+DATEDIF(B7,B8+1,"MD")&gt;0,1,0))</f>
        <v>40</v>
      </c>
      <c r="C20" s="13" t="s">
        <v>20</v>
      </c>
    </row>
    <row r="21" spans="1:4" ht="18.75" customHeight="1" x14ac:dyDescent="0.4">
      <c r="A21" s="13" t="s">
        <v>21</v>
      </c>
      <c r="B21" s="16">
        <f>IF(B20="","",IF(B20&lt;=20,MAX(800000,400000*B20),8000000+700000*(B20-20)))</f>
        <v>22000000</v>
      </c>
      <c r="C21" s="13" t="s">
        <v>22</v>
      </c>
    </row>
    <row r="22" spans="1:4" ht="18.75" customHeight="1" x14ac:dyDescent="0.4">
      <c r="A22" s="13" t="str">
        <f>$B$6&amp;"の加入年数"</f>
        <v>DCの加入年数</v>
      </c>
      <c r="B22" s="16">
        <f>IF(OR(B11="",B12=""),"",DATEDIF(B11,B12+1,"Y")+IF(DATEDIF(B11,B12+1,"YM")+DATEDIF(B11,B12+1,"MD")&gt;0,1,0))</f>
        <v>35</v>
      </c>
      <c r="C22" s="13" t="s">
        <v>10</v>
      </c>
    </row>
    <row r="23" spans="1:4" ht="18.75" customHeight="1" x14ac:dyDescent="0.4">
      <c r="A23" s="13" t="str">
        <f>$B$6&amp;"の退職所得控除額"</f>
        <v>DCの退職所得控除額</v>
      </c>
      <c r="B23" s="16">
        <f>IF(B22="","",IF(B22&lt;=20,MAX(800000,400000*B22),8000000+700000*(B22-20)))</f>
        <v>18500000</v>
      </c>
      <c r="C23" s="13" t="s">
        <v>23</v>
      </c>
    </row>
    <row r="24" spans="1:4" x14ac:dyDescent="0.4">
      <c r="A24" s="10" t="s">
        <v>25</v>
      </c>
      <c r="B24" s="10" t="s">
        <v>216</v>
      </c>
    </row>
    <row r="25" spans="1:4" ht="48" customHeight="1" x14ac:dyDescent="0.4">
      <c r="A25" s="12" t="s">
        <v>26</v>
      </c>
      <c r="B25" s="84" t="s">
        <v>217</v>
      </c>
      <c r="C25" s="84"/>
    </row>
    <row r="27" spans="1:4" ht="18.75" customHeight="1" x14ac:dyDescent="0.4">
      <c r="A27" s="12" t="s">
        <v>27</v>
      </c>
      <c r="B27" s="84" t="s">
        <v>218</v>
      </c>
      <c r="C27" s="84"/>
      <c r="D27" s="13"/>
    </row>
    <row r="28" spans="1:4" x14ac:dyDescent="0.4">
      <c r="B28" s="84"/>
      <c r="C28" s="84"/>
      <c r="D28" s="13"/>
    </row>
    <row r="29" spans="1:4" x14ac:dyDescent="0.4">
      <c r="B29" s="86"/>
      <c r="C29" s="86"/>
      <c r="D29" s="13"/>
    </row>
    <row r="30" spans="1:4" ht="18.75" customHeight="1" x14ac:dyDescent="0.4">
      <c r="A30" s="87" t="s">
        <v>28</v>
      </c>
      <c r="B30" s="87"/>
      <c r="C30" s="87"/>
    </row>
    <row r="31" spans="1:4" ht="54.95" customHeight="1" x14ac:dyDescent="0.4">
      <c r="A31" s="18" t="s">
        <v>29</v>
      </c>
      <c r="B31" s="84" t="s">
        <v>219</v>
      </c>
      <c r="C31" s="84"/>
    </row>
    <row r="32" spans="1:4" ht="54.95" customHeight="1" x14ac:dyDescent="0.4">
      <c r="A32" s="18" t="s">
        <v>30</v>
      </c>
      <c r="B32" s="84" t="s">
        <v>31</v>
      </c>
      <c r="C32" s="84"/>
      <c r="D32" s="17"/>
    </row>
    <row r="33" spans="1:4" ht="54.95" customHeight="1" x14ac:dyDescent="0.4">
      <c r="A33" s="18" t="s">
        <v>32</v>
      </c>
      <c r="B33" s="84" t="s">
        <v>220</v>
      </c>
      <c r="C33" s="84"/>
      <c r="D33" s="17"/>
    </row>
    <row r="34" spans="1:4" ht="54.95" customHeight="1" x14ac:dyDescent="0.4">
      <c r="A34" s="18" t="s">
        <v>33</v>
      </c>
      <c r="B34" s="84" t="s">
        <v>221</v>
      </c>
      <c r="C34" s="84"/>
      <c r="D34" s="17"/>
    </row>
    <row r="35" spans="1:4" ht="54.95" customHeight="1" x14ac:dyDescent="0.4">
      <c r="A35" s="18" t="s">
        <v>34</v>
      </c>
      <c r="B35" s="84" t="s">
        <v>222</v>
      </c>
      <c r="C35" s="84"/>
      <c r="D35" s="17"/>
    </row>
    <row r="36" spans="1:4" ht="18.75" customHeight="1" x14ac:dyDescent="0.4">
      <c r="A36" s="18" t="s">
        <v>35</v>
      </c>
      <c r="B36" s="84" t="s">
        <v>36</v>
      </c>
      <c r="C36" s="84"/>
    </row>
    <row r="37" spans="1:4" ht="50.1" customHeight="1" x14ac:dyDescent="0.4">
      <c r="A37" s="19" t="s">
        <v>37</v>
      </c>
      <c r="B37" s="84" t="s">
        <v>38</v>
      </c>
      <c r="C37" s="84"/>
      <c r="D37" s="17"/>
    </row>
    <row r="38" spans="1:4" x14ac:dyDescent="0.4">
      <c r="A38" s="10" t="s">
        <v>208</v>
      </c>
      <c r="B38" s="60" t="s">
        <v>209</v>
      </c>
    </row>
  </sheetData>
  <sheetProtection algorithmName="SHA-512" hashValue="dcCvgbcKays9Qd6YWyGd8XyUKKm7y/0+ncbJ3d/16GqrE/IX/gOxy7HnViyr3kxlY5thoDtlvLBQaJH7mj1niQ==" saltValue="x3e4VUMr7xG9ZVmqpCNAZA==" spinCount="100000" sheet="1" objects="1" scenarios="1"/>
  <mergeCells count="11">
    <mergeCell ref="B35:C35"/>
    <mergeCell ref="B36:C36"/>
    <mergeCell ref="B37:C37"/>
    <mergeCell ref="A1:C1"/>
    <mergeCell ref="B25:C25"/>
    <mergeCell ref="B27:C29"/>
    <mergeCell ref="A30:C30"/>
    <mergeCell ref="B31:C31"/>
    <mergeCell ref="B32:C32"/>
    <mergeCell ref="B33:C33"/>
    <mergeCell ref="B34:C34"/>
  </mergeCells>
  <phoneticPr fontId="1"/>
  <dataValidations count="2">
    <dataValidation type="date" allowBlank="1" showInputMessage="1" showErrorMessage="1" sqref="F7 B7:B9 B11:B13" xr:uid="{86C02B76-66A7-4EB9-B53F-3DCF102BB318}">
      <formula1>1</formula1>
      <formula2>2958465</formula2>
    </dataValidation>
    <dataValidation type="list" allowBlank="1" showInputMessage="1" showErrorMessage="1" sqref="B15:B16 B6" xr:uid="{01BE4F96-4D7C-4AD5-B260-1D9E9EAE8D95}">
      <formula1>"DC,DB"</formula1>
    </dataValidation>
  </dataValidations>
  <hyperlinks>
    <hyperlink ref="B38" r:id="rId1" xr:uid="{38D22C48-105A-4900-81A4-CF684059C2D1}"/>
  </hyperlinks>
  <pageMargins left="0.75" right="0.75" top="1" bottom="1" header="0.5" footer="0.5"/>
  <pageSetup paperSize="9" orientation="portrait" horizontalDpi="4294967293" verticalDpi="0"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AABEA-3A51-4F2B-8D15-E677D9A48641}">
  <sheetPr>
    <pageSetUpPr fitToPage="1"/>
  </sheetPr>
  <dimension ref="B2:BD70"/>
  <sheetViews>
    <sheetView showGridLines="0" zoomScaleNormal="100" zoomScaleSheetLayoutView="100" workbookViewId="0"/>
  </sheetViews>
  <sheetFormatPr defaultRowHeight="18.75" x14ac:dyDescent="0.4"/>
  <cols>
    <col min="1" max="1" width="9" style="61"/>
    <col min="2" max="2" width="16.625" style="61" customWidth="1"/>
    <col min="3" max="56" width="3.125" style="61" customWidth="1"/>
    <col min="57" max="16384" width="9" style="61"/>
  </cols>
  <sheetData>
    <row r="2" spans="2:56" x14ac:dyDescent="0.4">
      <c r="B2" s="61" t="s">
        <v>225</v>
      </c>
    </row>
    <row r="3" spans="2:56" x14ac:dyDescent="0.4">
      <c r="B3" s="61" t="s">
        <v>226</v>
      </c>
    </row>
    <row r="4" spans="2:56" x14ac:dyDescent="0.4">
      <c r="B4" s="61" t="s">
        <v>227</v>
      </c>
    </row>
    <row r="5" spans="2:56" x14ac:dyDescent="0.4">
      <c r="B5" s="61" t="s">
        <v>228</v>
      </c>
    </row>
    <row r="6" spans="2:56" x14ac:dyDescent="0.4">
      <c r="C6" s="62" t="s">
        <v>229</v>
      </c>
      <c r="D6" s="63"/>
      <c r="E6" s="63"/>
      <c r="F6" s="63"/>
      <c r="G6" s="63"/>
      <c r="H6" s="63"/>
      <c r="I6" s="63"/>
      <c r="J6" s="63"/>
      <c r="K6" s="63"/>
      <c r="L6" s="64"/>
      <c r="M6" s="62" t="s">
        <v>230</v>
      </c>
      <c r="N6" s="63"/>
      <c r="O6" s="63"/>
      <c r="P6" s="63"/>
      <c r="Q6" s="63"/>
      <c r="R6" s="63"/>
      <c r="S6" s="63"/>
      <c r="T6" s="63"/>
      <c r="U6" s="63"/>
      <c r="V6" s="63"/>
      <c r="W6" s="63"/>
      <c r="X6" s="63"/>
      <c r="Y6" s="63"/>
      <c r="Z6" s="63"/>
      <c r="AA6" s="63"/>
      <c r="AB6" s="63"/>
      <c r="AC6" s="63"/>
      <c r="AD6" s="63"/>
      <c r="AE6" s="63"/>
      <c r="AF6" s="63"/>
      <c r="AG6" s="64"/>
    </row>
    <row r="7" spans="2:56" x14ac:dyDescent="0.4">
      <c r="C7" s="65" t="s">
        <v>231</v>
      </c>
      <c r="D7" s="66"/>
      <c r="E7" s="66"/>
      <c r="F7" s="66"/>
      <c r="G7" s="66"/>
      <c r="H7" s="66"/>
      <c r="I7" s="66"/>
      <c r="J7" s="66"/>
      <c r="K7" s="66"/>
      <c r="L7" s="67"/>
      <c r="M7" s="65" t="s">
        <v>232</v>
      </c>
      <c r="N7" s="66"/>
      <c r="O7" s="66"/>
      <c r="P7" s="66"/>
      <c r="Q7" s="66"/>
      <c r="R7" s="66"/>
      <c r="S7" s="66"/>
      <c r="T7" s="66"/>
      <c r="U7" s="66"/>
      <c r="V7" s="66"/>
      <c r="W7" s="66"/>
      <c r="X7" s="66"/>
      <c r="Y7" s="66"/>
      <c r="Z7" s="66"/>
      <c r="AA7" s="66"/>
      <c r="AB7" s="66"/>
      <c r="AC7" s="66"/>
      <c r="AD7" s="66"/>
      <c r="AE7" s="66"/>
      <c r="AF7" s="66"/>
      <c r="AG7" s="67"/>
    </row>
    <row r="8" spans="2:56" x14ac:dyDescent="0.4">
      <c r="C8" s="62" t="s">
        <v>233</v>
      </c>
      <c r="D8" s="63"/>
      <c r="E8" s="63"/>
      <c r="F8" s="63"/>
      <c r="G8" s="63"/>
      <c r="H8" s="63"/>
      <c r="I8" s="63"/>
      <c r="J8" s="63"/>
      <c r="K8" s="63"/>
      <c r="L8" s="64"/>
      <c r="M8" s="62" t="s">
        <v>234</v>
      </c>
      <c r="N8" s="63"/>
      <c r="O8" s="63"/>
      <c r="P8" s="63"/>
      <c r="Q8" s="63"/>
      <c r="R8" s="63"/>
      <c r="S8" s="63"/>
      <c r="T8" s="63"/>
      <c r="U8" s="63"/>
      <c r="V8" s="63"/>
      <c r="W8" s="63"/>
      <c r="X8" s="63"/>
      <c r="Y8" s="63"/>
      <c r="Z8" s="63"/>
      <c r="AA8" s="63"/>
      <c r="AB8" s="63"/>
      <c r="AC8" s="63"/>
      <c r="AD8" s="63"/>
      <c r="AE8" s="63"/>
      <c r="AF8" s="63"/>
      <c r="AG8" s="64"/>
    </row>
    <row r="9" spans="2:56" x14ac:dyDescent="0.4">
      <c r="C9" s="65"/>
      <c r="D9" s="66"/>
      <c r="E9" s="66"/>
      <c r="F9" s="66"/>
      <c r="G9" s="66"/>
      <c r="H9" s="66"/>
      <c r="I9" s="66"/>
      <c r="J9" s="66"/>
      <c r="K9" s="66"/>
      <c r="L9" s="67"/>
      <c r="M9" s="65" t="s">
        <v>235</v>
      </c>
      <c r="N9" s="66"/>
      <c r="O9" s="66"/>
      <c r="P9" s="66"/>
      <c r="Q9" s="66"/>
      <c r="R9" s="66"/>
      <c r="S9" s="66"/>
      <c r="T9" s="66"/>
      <c r="U9" s="66"/>
      <c r="V9" s="66"/>
      <c r="W9" s="66"/>
      <c r="X9" s="66"/>
      <c r="Y9" s="66"/>
      <c r="Z9" s="66"/>
      <c r="AA9" s="66"/>
      <c r="AB9" s="66"/>
      <c r="AC9" s="66"/>
      <c r="AD9" s="66"/>
      <c r="AE9" s="66"/>
      <c r="AF9" s="66"/>
      <c r="AG9" s="67"/>
    </row>
    <row r="10" spans="2:56" x14ac:dyDescent="0.4">
      <c r="B10" s="61" t="s">
        <v>236</v>
      </c>
    </row>
    <row r="12" spans="2:56" ht="23.25" x14ac:dyDescent="0.4">
      <c r="B12" s="92" t="s">
        <v>237</v>
      </c>
      <c r="C12" s="93"/>
      <c r="D12" s="93"/>
      <c r="E12" s="93"/>
      <c r="F12" s="93"/>
      <c r="G12" s="93"/>
      <c r="H12" s="93"/>
      <c r="I12" s="93"/>
      <c r="J12" s="93"/>
      <c r="K12" s="93"/>
      <c r="L12" s="93"/>
      <c r="M12" s="93"/>
      <c r="N12" s="93"/>
      <c r="O12" s="93"/>
      <c r="P12" s="93"/>
      <c r="Q12" s="93"/>
      <c r="R12" s="93"/>
      <c r="S12" s="93"/>
      <c r="T12" s="93"/>
      <c r="U12" s="93"/>
      <c r="V12" s="93"/>
      <c r="W12" s="93"/>
      <c r="X12" s="93"/>
      <c r="Y12" s="93"/>
      <c r="Z12" s="93"/>
      <c r="AA12" s="93"/>
      <c r="AB12" s="93"/>
      <c r="AC12" s="93"/>
      <c r="AD12" s="93"/>
      <c r="AE12" s="93"/>
      <c r="AF12" s="93"/>
      <c r="AG12" s="93"/>
      <c r="AH12" s="93"/>
      <c r="AI12" s="93"/>
      <c r="AJ12" s="93"/>
      <c r="AK12" s="93"/>
      <c r="AL12" s="93"/>
      <c r="AM12" s="93"/>
      <c r="AN12" s="93"/>
      <c r="AO12" s="93"/>
      <c r="AP12" s="93"/>
      <c r="AQ12" s="93"/>
      <c r="AR12" s="93"/>
      <c r="AS12" s="93"/>
      <c r="AT12" s="93"/>
      <c r="AU12" s="93"/>
      <c r="AV12" s="93"/>
      <c r="AW12" s="93"/>
      <c r="AX12" s="93"/>
      <c r="AY12" s="93"/>
    </row>
    <row r="13" spans="2:56" x14ac:dyDescent="0.4">
      <c r="B13" s="94" t="s">
        <v>238</v>
      </c>
      <c r="C13" s="93"/>
      <c r="D13" s="93"/>
      <c r="E13" s="93"/>
      <c r="F13" s="93"/>
      <c r="G13" s="93"/>
      <c r="H13" s="93"/>
      <c r="I13" s="93"/>
      <c r="J13" s="93"/>
      <c r="K13" s="93"/>
      <c r="L13" s="93"/>
      <c r="M13" s="93"/>
      <c r="N13" s="93"/>
      <c r="O13" s="93"/>
      <c r="P13" s="93"/>
      <c r="Q13" s="93"/>
      <c r="R13" s="93"/>
      <c r="S13" s="93"/>
      <c r="T13" s="93"/>
      <c r="U13" s="93"/>
      <c r="V13" s="93"/>
      <c r="W13" s="93"/>
      <c r="X13" s="93"/>
      <c r="Y13" s="93"/>
      <c r="Z13" s="93"/>
      <c r="AA13" s="93"/>
      <c r="AB13" s="93"/>
      <c r="AC13" s="93"/>
      <c r="AD13" s="93"/>
      <c r="AE13" s="93"/>
      <c r="AF13" s="93"/>
      <c r="AG13" s="93"/>
      <c r="AH13" s="93"/>
      <c r="AI13" s="93"/>
      <c r="AJ13" s="93"/>
      <c r="AK13" s="93"/>
      <c r="AL13" s="93"/>
      <c r="AM13" s="93"/>
      <c r="AN13" s="93"/>
      <c r="AO13" s="93"/>
      <c r="AP13" s="93"/>
      <c r="AQ13" s="93"/>
      <c r="AR13" s="93"/>
      <c r="AS13" s="93"/>
      <c r="AT13" s="93"/>
      <c r="AU13" s="93"/>
      <c r="AV13" s="93"/>
      <c r="AW13" s="93"/>
      <c r="AX13" s="93"/>
      <c r="AY13" s="93"/>
    </row>
    <row r="14" spans="2:56" x14ac:dyDescent="0.4">
      <c r="B14" s="68"/>
      <c r="C14" s="69" t="s">
        <v>239</v>
      </c>
      <c r="D14" s="69"/>
      <c r="E14" s="69"/>
      <c r="F14" s="68"/>
      <c r="G14" s="70" t="s">
        <v>240</v>
      </c>
      <c r="H14" s="70"/>
      <c r="I14" s="70"/>
      <c r="J14" s="70"/>
      <c r="K14" s="68"/>
      <c r="L14" s="68"/>
      <c r="M14" s="71" t="s">
        <v>241</v>
      </c>
      <c r="N14" s="71"/>
      <c r="O14" s="71"/>
      <c r="P14" s="68"/>
      <c r="Q14" s="68"/>
      <c r="R14" s="68"/>
      <c r="S14" s="68"/>
      <c r="T14" s="68"/>
      <c r="U14" s="68"/>
      <c r="V14" s="68"/>
      <c r="W14" s="68"/>
      <c r="X14" s="68"/>
      <c r="Y14" s="68"/>
      <c r="Z14" s="68"/>
      <c r="AA14" s="68"/>
      <c r="AB14" s="68"/>
      <c r="AC14" s="68"/>
      <c r="AD14" s="68"/>
      <c r="AE14" s="68"/>
      <c r="AF14" s="68"/>
      <c r="AG14" s="68"/>
      <c r="AH14" s="68"/>
      <c r="AI14" s="68"/>
      <c r="AJ14" s="68"/>
      <c r="AK14" s="68"/>
      <c r="AL14" s="68"/>
      <c r="AM14" s="68"/>
      <c r="AN14" s="68"/>
      <c r="AO14" s="68"/>
      <c r="AP14" s="68"/>
      <c r="AQ14" s="68"/>
      <c r="AR14" s="68"/>
      <c r="AS14" s="68"/>
      <c r="AT14" s="68"/>
      <c r="AU14" s="68"/>
      <c r="AV14" s="68"/>
      <c r="AW14" s="68"/>
      <c r="AX14" s="68"/>
      <c r="AY14" s="68"/>
    </row>
    <row r="15" spans="2:56" x14ac:dyDescent="0.4">
      <c r="B15" s="72" t="s">
        <v>242</v>
      </c>
      <c r="C15" s="73">
        <v>18</v>
      </c>
      <c r="D15" s="73">
        <v>19</v>
      </c>
      <c r="E15" s="73">
        <v>20</v>
      </c>
      <c r="F15" s="73">
        <v>21</v>
      </c>
      <c r="G15" s="73">
        <v>22</v>
      </c>
      <c r="H15" s="73">
        <v>23</v>
      </c>
      <c r="I15" s="73">
        <v>24</v>
      </c>
      <c r="J15" s="73">
        <v>25</v>
      </c>
      <c r="K15" s="73">
        <v>26</v>
      </c>
      <c r="L15" s="73">
        <v>27</v>
      </c>
      <c r="M15" s="73">
        <v>28</v>
      </c>
      <c r="N15" s="73">
        <v>29</v>
      </c>
      <c r="O15" s="73">
        <v>30</v>
      </c>
      <c r="P15" s="73">
        <v>31</v>
      </c>
      <c r="Q15" s="73">
        <v>32</v>
      </c>
      <c r="R15" s="73">
        <v>33</v>
      </c>
      <c r="S15" s="73">
        <v>34</v>
      </c>
      <c r="T15" s="73">
        <v>35</v>
      </c>
      <c r="U15" s="73">
        <v>36</v>
      </c>
      <c r="V15" s="73">
        <v>37</v>
      </c>
      <c r="W15" s="73">
        <v>38</v>
      </c>
      <c r="X15" s="73">
        <v>39</v>
      </c>
      <c r="Y15" s="73">
        <v>40</v>
      </c>
      <c r="Z15" s="73">
        <v>41</v>
      </c>
      <c r="AA15" s="73">
        <v>42</v>
      </c>
      <c r="AB15" s="73">
        <v>43</v>
      </c>
      <c r="AC15" s="73">
        <v>44</v>
      </c>
      <c r="AD15" s="73">
        <v>45</v>
      </c>
      <c r="AE15" s="73">
        <v>46</v>
      </c>
      <c r="AF15" s="73">
        <v>47</v>
      </c>
      <c r="AG15" s="73">
        <v>48</v>
      </c>
      <c r="AH15" s="73">
        <v>49</v>
      </c>
      <c r="AI15" s="73">
        <v>50</v>
      </c>
      <c r="AJ15" s="73">
        <v>51</v>
      </c>
      <c r="AK15" s="73">
        <v>52</v>
      </c>
      <c r="AL15" s="73">
        <v>53</v>
      </c>
      <c r="AM15" s="73">
        <v>54</v>
      </c>
      <c r="AN15" s="73">
        <v>55</v>
      </c>
      <c r="AO15" s="73">
        <v>56</v>
      </c>
      <c r="AP15" s="73">
        <v>57</v>
      </c>
      <c r="AQ15" s="73">
        <v>58</v>
      </c>
      <c r="AR15" s="73">
        <v>59</v>
      </c>
      <c r="AS15" s="73">
        <v>60</v>
      </c>
      <c r="AT15" s="73">
        <v>61</v>
      </c>
      <c r="AU15" s="73">
        <v>62</v>
      </c>
      <c r="AV15" s="73">
        <v>63</v>
      </c>
      <c r="AW15" s="73">
        <v>64</v>
      </c>
      <c r="AX15" s="73">
        <v>65</v>
      </c>
      <c r="AY15" s="73">
        <v>66</v>
      </c>
      <c r="AZ15" s="73">
        <v>67</v>
      </c>
      <c r="BA15" s="74"/>
      <c r="BB15" s="74"/>
      <c r="BC15" s="74"/>
      <c r="BD15" s="74"/>
    </row>
    <row r="17" spans="2:56" x14ac:dyDescent="0.4">
      <c r="B17" s="75" t="s">
        <v>243</v>
      </c>
      <c r="C17" s="75"/>
      <c r="D17" s="75"/>
      <c r="E17" s="75"/>
      <c r="F17" s="75"/>
      <c r="G17" s="75"/>
      <c r="H17" s="75"/>
      <c r="I17" s="76"/>
      <c r="J17" s="76"/>
      <c r="K17" s="76"/>
      <c r="L17" s="76"/>
      <c r="M17" s="76"/>
      <c r="N17" s="76"/>
      <c r="O17" s="76"/>
      <c r="P17" s="76"/>
      <c r="Q17" s="76"/>
      <c r="R17" s="76"/>
      <c r="S17" s="76"/>
      <c r="T17" s="76"/>
      <c r="U17" s="76"/>
      <c r="V17" s="76"/>
      <c r="W17" s="76"/>
      <c r="X17" s="76"/>
      <c r="Y17" s="76"/>
      <c r="Z17" s="76"/>
      <c r="AA17" s="76"/>
      <c r="AB17" s="76"/>
      <c r="AC17" s="76"/>
      <c r="AD17" s="76"/>
      <c r="AE17" s="76"/>
      <c r="AF17" s="76"/>
      <c r="AG17" s="76"/>
      <c r="AH17" s="76"/>
      <c r="AI17" s="76"/>
      <c r="AJ17" s="76"/>
      <c r="AK17" s="76"/>
      <c r="AL17" s="76"/>
      <c r="AM17" s="76"/>
      <c r="AN17" s="76"/>
      <c r="AO17" s="76"/>
      <c r="AP17" s="76"/>
      <c r="AQ17" s="76"/>
      <c r="AR17" s="76"/>
      <c r="AS17" s="76"/>
      <c r="AT17" s="76"/>
      <c r="AU17" s="76"/>
      <c r="AV17" s="76"/>
      <c r="AW17" s="76"/>
      <c r="AX17" s="76" t="s">
        <v>244</v>
      </c>
      <c r="AY17" s="76"/>
      <c r="AZ17" s="76"/>
      <c r="BA17" s="76"/>
      <c r="BB17" s="76"/>
      <c r="BC17" s="76"/>
      <c r="BD17" s="76"/>
    </row>
    <row r="18" spans="2:56" x14ac:dyDescent="0.4">
      <c r="B18" s="77" t="s">
        <v>245</v>
      </c>
      <c r="E18" s="78"/>
      <c r="F18" s="78"/>
      <c r="G18" s="78"/>
      <c r="H18" s="78"/>
      <c r="I18" s="78"/>
      <c r="J18" s="78"/>
      <c r="K18" s="78"/>
      <c r="L18" s="78"/>
      <c r="M18" s="78"/>
      <c r="N18" s="78"/>
      <c r="O18" s="78"/>
      <c r="P18" s="78"/>
      <c r="Q18" s="78"/>
      <c r="R18" s="78"/>
      <c r="S18" s="78"/>
      <c r="T18" s="78"/>
      <c r="U18" s="78"/>
      <c r="V18" s="78"/>
      <c r="W18" s="78"/>
      <c r="X18" s="78"/>
      <c r="Y18" s="78"/>
      <c r="Z18" s="78"/>
      <c r="AA18" s="78"/>
      <c r="AB18" s="78"/>
      <c r="AC18" s="78"/>
      <c r="AD18" s="78"/>
      <c r="AE18" s="78"/>
      <c r="AF18" s="78"/>
      <c r="AG18" s="78"/>
      <c r="AH18" s="78"/>
      <c r="AI18" s="78"/>
      <c r="AJ18" s="78"/>
      <c r="AK18" s="78"/>
      <c r="AL18" s="78"/>
      <c r="AM18" s="78"/>
      <c r="AN18" s="78"/>
      <c r="AO18" s="78"/>
      <c r="AP18" s="78"/>
      <c r="AQ18" s="78"/>
      <c r="AR18" s="78"/>
      <c r="AS18" s="78"/>
      <c r="AT18" s="78"/>
      <c r="AU18" s="78"/>
      <c r="AV18" s="78"/>
      <c r="AW18" s="78"/>
      <c r="AX18" s="78"/>
    </row>
    <row r="19" spans="2:56" x14ac:dyDescent="0.4">
      <c r="B19" s="77" t="s">
        <v>246</v>
      </c>
      <c r="O19" s="79"/>
      <c r="P19" s="79"/>
      <c r="Q19" s="79"/>
      <c r="R19" s="79"/>
      <c r="S19" s="79"/>
      <c r="T19" s="79"/>
      <c r="U19" s="79"/>
      <c r="V19" s="79"/>
      <c r="W19" s="79"/>
      <c r="X19" s="79"/>
      <c r="Y19" s="79"/>
      <c r="Z19" s="79"/>
      <c r="AA19" s="79"/>
      <c r="AB19" s="79"/>
      <c r="AC19" s="79"/>
      <c r="AD19" s="79"/>
      <c r="AE19" s="79"/>
      <c r="AF19" s="79"/>
      <c r="AG19" s="79"/>
      <c r="AH19" s="79"/>
      <c r="AI19" s="79"/>
      <c r="AJ19" s="79"/>
      <c r="AK19" s="79"/>
      <c r="AL19" s="79"/>
      <c r="AM19" s="79"/>
      <c r="AN19" s="79"/>
      <c r="AO19" s="79"/>
      <c r="AP19" s="79"/>
      <c r="AQ19" s="79"/>
      <c r="AR19" s="79"/>
      <c r="AS19" s="79"/>
    </row>
    <row r="20" spans="2:56" x14ac:dyDescent="0.4">
      <c r="B20" s="77" t="s">
        <v>247</v>
      </c>
      <c r="O20" s="80"/>
      <c r="P20" s="80"/>
      <c r="Q20" s="80"/>
      <c r="R20" s="80"/>
      <c r="S20" s="80"/>
      <c r="T20" s="80"/>
      <c r="U20" s="80"/>
      <c r="V20" s="80"/>
      <c r="W20" s="80"/>
      <c r="X20" s="80"/>
      <c r="Y20" s="80"/>
      <c r="Z20" s="80"/>
      <c r="AA20" s="80"/>
      <c r="AB20" s="80"/>
      <c r="AC20" s="80"/>
      <c r="AD20" s="80"/>
      <c r="AE20" s="80"/>
      <c r="AF20" s="80"/>
      <c r="AG20" s="80"/>
      <c r="AH20" s="80"/>
      <c r="AI20" s="80"/>
      <c r="AJ20" s="80"/>
      <c r="AK20" s="80"/>
      <c r="AL20" s="80"/>
      <c r="AM20" s="80"/>
      <c r="AN20" s="80"/>
      <c r="AO20" s="80"/>
      <c r="AP20" s="80"/>
      <c r="AQ20" s="80"/>
      <c r="AR20" s="80"/>
      <c r="AS20" s="80"/>
    </row>
    <row r="21" spans="2:56" x14ac:dyDescent="0.4">
      <c r="B21" s="77" t="s">
        <v>248</v>
      </c>
      <c r="E21" s="81"/>
      <c r="F21" s="81"/>
      <c r="G21" s="81"/>
      <c r="H21" s="81"/>
      <c r="I21" s="81"/>
      <c r="J21" s="81"/>
      <c r="K21" s="81"/>
      <c r="L21" s="81"/>
      <c r="M21" s="81"/>
      <c r="N21" s="81"/>
      <c r="O21" s="81"/>
      <c r="P21" s="81"/>
      <c r="Q21" s="81"/>
      <c r="R21" s="81"/>
      <c r="S21" s="81"/>
      <c r="T21" s="81"/>
      <c r="U21" s="81"/>
      <c r="V21" s="81"/>
      <c r="W21" s="81"/>
      <c r="X21" s="81"/>
      <c r="Y21" s="81"/>
      <c r="Z21" s="81"/>
      <c r="AA21" s="81"/>
      <c r="AB21" s="81"/>
      <c r="AC21" s="81"/>
      <c r="AD21" s="81"/>
      <c r="AE21" s="81"/>
      <c r="AF21" s="81"/>
      <c r="AG21" s="81"/>
      <c r="AH21" s="81"/>
      <c r="AI21" s="81"/>
      <c r="AJ21" s="81"/>
      <c r="AK21" s="81"/>
      <c r="AL21" s="81"/>
      <c r="AM21" s="81"/>
      <c r="AN21" s="81"/>
      <c r="AO21" s="81"/>
      <c r="AP21" s="81"/>
      <c r="AQ21" s="81"/>
      <c r="AR21" s="81"/>
      <c r="AS21" s="81" t="s">
        <v>249</v>
      </c>
      <c r="AT21" s="81"/>
      <c r="AU21" s="81"/>
      <c r="AV21" s="81"/>
      <c r="AW21" s="81"/>
      <c r="AX21" s="81"/>
      <c r="AY21" s="81"/>
      <c r="AZ21" s="81"/>
      <c r="BA21" s="81"/>
      <c r="BB21" s="81"/>
      <c r="BC21" s="81"/>
      <c r="BD21" s="81"/>
    </row>
    <row r="22" spans="2:56" x14ac:dyDescent="0.4">
      <c r="E22" s="81"/>
      <c r="F22" s="81"/>
      <c r="G22" s="81"/>
      <c r="H22" s="81"/>
      <c r="I22" s="81"/>
      <c r="J22" s="81"/>
      <c r="K22" s="81"/>
      <c r="L22" s="81"/>
      <c r="M22" s="81"/>
      <c r="N22" s="81"/>
      <c r="O22" s="81"/>
      <c r="P22" s="81"/>
      <c r="Q22" s="81"/>
      <c r="R22" s="81"/>
      <c r="S22" s="81"/>
      <c r="T22" s="81"/>
      <c r="U22" s="81"/>
      <c r="V22" s="81"/>
      <c r="W22" s="81"/>
      <c r="X22" s="81"/>
      <c r="Y22" s="81"/>
      <c r="Z22" s="81"/>
      <c r="AA22" s="81"/>
      <c r="AB22" s="81"/>
      <c r="AC22" s="81"/>
      <c r="AD22" s="81"/>
      <c r="AE22" s="81"/>
      <c r="AF22" s="81"/>
      <c r="AG22" s="81"/>
      <c r="AH22" s="81"/>
      <c r="AI22" s="81"/>
      <c r="AJ22" s="81"/>
      <c r="AK22" s="81"/>
      <c r="AL22" s="81"/>
      <c r="AM22" s="81"/>
      <c r="AN22" s="81"/>
      <c r="AO22" s="81"/>
      <c r="AP22" s="82"/>
      <c r="AQ22" s="82"/>
      <c r="AR22" s="82"/>
      <c r="AS22" s="82"/>
      <c r="AT22" s="82"/>
      <c r="AU22" s="82"/>
      <c r="AV22" s="82"/>
      <c r="AW22" s="82"/>
      <c r="AX22" s="82"/>
      <c r="AY22" s="83" t="s">
        <v>250</v>
      </c>
      <c r="AZ22" s="81"/>
      <c r="BA22" s="81"/>
      <c r="BB22" s="81"/>
      <c r="BC22" s="81"/>
      <c r="BD22" s="81"/>
    </row>
    <row r="23" spans="2:56" x14ac:dyDescent="0.4">
      <c r="B23" s="90" t="s">
        <v>251</v>
      </c>
      <c r="C23" s="89"/>
      <c r="D23" s="89"/>
      <c r="E23" s="89"/>
      <c r="F23" s="89"/>
      <c r="G23" s="89"/>
      <c r="H23" s="89"/>
      <c r="I23" s="89"/>
      <c r="J23" s="89"/>
      <c r="K23" s="89"/>
      <c r="L23" s="89"/>
      <c r="M23" s="89"/>
      <c r="N23" s="89"/>
      <c r="O23" s="89"/>
      <c r="P23" s="89"/>
    </row>
    <row r="24" spans="2:56" x14ac:dyDescent="0.4">
      <c r="B24" s="88" t="s">
        <v>252</v>
      </c>
      <c r="C24" s="89"/>
      <c r="D24" s="89"/>
      <c r="E24" s="89"/>
      <c r="F24" s="89"/>
      <c r="G24" s="89"/>
      <c r="H24" s="89"/>
      <c r="I24" s="89"/>
      <c r="J24" s="89"/>
      <c r="K24" s="89"/>
      <c r="L24" s="89"/>
      <c r="M24" s="89"/>
      <c r="N24" s="89"/>
      <c r="O24" s="89"/>
      <c r="P24" s="89"/>
      <c r="Q24" s="89"/>
      <c r="R24" s="89"/>
      <c r="S24" s="89"/>
      <c r="T24" s="89"/>
      <c r="U24" s="89"/>
      <c r="V24" s="89"/>
      <c r="W24" s="89"/>
      <c r="X24" s="89"/>
      <c r="Y24" s="89"/>
      <c r="Z24" s="89"/>
    </row>
    <row r="27" spans="2:56" x14ac:dyDescent="0.4">
      <c r="B27" s="75" t="s">
        <v>253</v>
      </c>
      <c r="C27" s="75"/>
      <c r="D27" s="75"/>
      <c r="E27" s="75"/>
      <c r="F27" s="75"/>
      <c r="G27" s="75"/>
      <c r="H27" s="75"/>
      <c r="I27" s="76"/>
      <c r="J27" s="76"/>
      <c r="K27" s="76"/>
      <c r="L27" s="76"/>
      <c r="M27" s="76"/>
      <c r="N27" s="76"/>
      <c r="O27" s="76"/>
      <c r="P27" s="76"/>
      <c r="Q27" s="76"/>
      <c r="R27" s="76"/>
      <c r="S27" s="76"/>
      <c r="T27" s="76"/>
      <c r="U27" s="76"/>
      <c r="V27" s="76"/>
      <c r="W27" s="76"/>
      <c r="X27" s="76"/>
      <c r="Y27" s="76"/>
      <c r="Z27" s="76"/>
      <c r="AA27" s="76"/>
      <c r="AB27" s="76"/>
      <c r="AC27" s="76"/>
      <c r="AD27" s="76"/>
      <c r="AE27" s="76"/>
      <c r="AF27" s="76"/>
      <c r="AG27" s="76"/>
      <c r="AH27" s="76"/>
      <c r="AI27" s="76"/>
      <c r="AJ27" s="76"/>
      <c r="AK27" s="76"/>
      <c r="AL27" s="76"/>
      <c r="AM27" s="76"/>
      <c r="AN27" s="76"/>
      <c r="AO27" s="76"/>
      <c r="AP27" s="76"/>
      <c r="AQ27" s="76"/>
      <c r="AR27" s="76"/>
      <c r="AS27" s="76" t="s">
        <v>254</v>
      </c>
      <c r="AT27" s="76"/>
      <c r="AU27" s="76"/>
      <c r="AV27" s="76"/>
      <c r="AW27" s="76"/>
      <c r="AX27" s="76"/>
      <c r="AY27" s="76"/>
      <c r="AZ27" s="76"/>
      <c r="BA27" s="76"/>
      <c r="BB27" s="76"/>
      <c r="BC27" s="76"/>
      <c r="BD27" s="76"/>
    </row>
    <row r="28" spans="2:56" x14ac:dyDescent="0.4">
      <c r="B28" s="77" t="s">
        <v>245</v>
      </c>
      <c r="E28" s="78"/>
      <c r="F28" s="78"/>
      <c r="G28" s="78"/>
      <c r="H28" s="78"/>
      <c r="I28" s="78"/>
      <c r="J28" s="78"/>
      <c r="K28" s="78"/>
      <c r="L28" s="78"/>
      <c r="M28" s="78"/>
      <c r="N28" s="78"/>
      <c r="O28" s="78"/>
      <c r="P28" s="78"/>
      <c r="Q28" s="78"/>
      <c r="R28" s="78"/>
      <c r="S28" s="78"/>
      <c r="T28" s="78"/>
      <c r="U28" s="78"/>
      <c r="V28" s="78"/>
      <c r="W28" s="78"/>
      <c r="X28" s="78"/>
      <c r="Y28" s="78"/>
      <c r="Z28" s="78"/>
      <c r="AA28" s="78"/>
      <c r="AB28" s="78"/>
      <c r="AC28" s="78"/>
      <c r="AD28" s="78"/>
      <c r="AE28" s="78"/>
      <c r="AF28" s="78"/>
      <c r="AG28" s="78"/>
      <c r="AH28" s="78"/>
      <c r="AI28" s="78"/>
      <c r="AJ28" s="78"/>
      <c r="AK28" s="78"/>
      <c r="AL28" s="78"/>
      <c r="AM28" s="78"/>
      <c r="AN28" s="78"/>
      <c r="AO28" s="78"/>
      <c r="AP28" s="78"/>
      <c r="AQ28" s="78"/>
      <c r="AR28" s="78"/>
      <c r="AS28" s="78"/>
    </row>
    <row r="29" spans="2:56" x14ac:dyDescent="0.4">
      <c r="B29" s="77" t="s">
        <v>246</v>
      </c>
      <c r="O29" s="79"/>
      <c r="P29" s="79"/>
      <c r="Q29" s="79"/>
      <c r="R29" s="79"/>
      <c r="S29" s="79"/>
      <c r="T29" s="79"/>
      <c r="U29" s="79"/>
      <c r="V29" s="79"/>
      <c r="W29" s="79"/>
      <c r="X29" s="79"/>
      <c r="Y29" s="79"/>
      <c r="Z29" s="79"/>
      <c r="AA29" s="79"/>
      <c r="AB29" s="79"/>
      <c r="AC29" s="79"/>
      <c r="AD29" s="79"/>
      <c r="AE29" s="79"/>
      <c r="AF29" s="79"/>
      <c r="AG29" s="79"/>
      <c r="AH29" s="79"/>
      <c r="AI29" s="79"/>
      <c r="AJ29" s="79"/>
      <c r="AK29" s="79"/>
      <c r="AL29" s="79"/>
      <c r="AM29" s="79"/>
      <c r="AN29" s="79"/>
      <c r="AO29" s="79"/>
      <c r="AP29" s="79"/>
      <c r="AQ29" s="79"/>
      <c r="AR29" s="79"/>
      <c r="AS29" s="79"/>
      <c r="AT29" s="79"/>
      <c r="AU29" s="79"/>
      <c r="AV29" s="79"/>
      <c r="AW29" s="79"/>
      <c r="AX29" s="79"/>
    </row>
    <row r="30" spans="2:56" x14ac:dyDescent="0.4">
      <c r="B30" s="77" t="s">
        <v>247</v>
      </c>
      <c r="O30" s="80"/>
      <c r="P30" s="80"/>
      <c r="Q30" s="80"/>
      <c r="R30" s="80"/>
      <c r="S30" s="80"/>
      <c r="T30" s="80"/>
      <c r="U30" s="80"/>
      <c r="V30" s="80"/>
      <c r="W30" s="80"/>
      <c r="X30" s="80"/>
      <c r="Y30" s="80"/>
      <c r="Z30" s="80"/>
      <c r="AA30" s="80"/>
      <c r="AB30" s="80"/>
      <c r="AC30" s="80"/>
      <c r="AD30" s="80"/>
      <c r="AE30" s="80"/>
      <c r="AF30" s="80"/>
      <c r="AG30" s="80"/>
      <c r="AH30" s="80"/>
      <c r="AI30" s="80"/>
      <c r="AJ30" s="80"/>
      <c r="AK30" s="80"/>
      <c r="AL30" s="80"/>
      <c r="AM30" s="80"/>
      <c r="AN30" s="80"/>
      <c r="AO30" s="80"/>
      <c r="AP30" s="80"/>
      <c r="AQ30" s="80"/>
      <c r="AR30" s="80"/>
      <c r="AS30" s="80"/>
      <c r="AT30" s="80"/>
      <c r="AU30" s="80"/>
      <c r="AV30" s="80"/>
      <c r="AW30" s="80"/>
      <c r="AX30" s="80"/>
    </row>
    <row r="31" spans="2:56" x14ac:dyDescent="0.4">
      <c r="B31" s="77" t="s">
        <v>248</v>
      </c>
      <c r="E31" s="81"/>
      <c r="F31" s="81"/>
      <c r="G31" s="81"/>
      <c r="H31" s="81"/>
      <c r="I31" s="81"/>
      <c r="J31" s="81"/>
      <c r="K31" s="81"/>
      <c r="L31" s="81"/>
      <c r="M31" s="81"/>
      <c r="N31" s="81"/>
      <c r="O31" s="81"/>
      <c r="P31" s="81"/>
      <c r="Q31" s="81"/>
      <c r="R31" s="81"/>
      <c r="S31" s="81"/>
      <c r="T31" s="81"/>
      <c r="U31" s="81"/>
      <c r="V31" s="81"/>
      <c r="W31" s="81"/>
      <c r="X31" s="81"/>
      <c r="Y31" s="81"/>
      <c r="Z31" s="81"/>
      <c r="AA31" s="81"/>
      <c r="AB31" s="81"/>
      <c r="AC31" s="81"/>
      <c r="AD31" s="81"/>
      <c r="AE31" s="81"/>
      <c r="AF31" s="81"/>
      <c r="AG31" s="81"/>
      <c r="AH31" s="81"/>
      <c r="AI31" s="81"/>
      <c r="AJ31" s="81"/>
      <c r="AK31" s="81"/>
      <c r="AL31" s="81"/>
      <c r="AM31" s="81"/>
      <c r="AN31" s="81"/>
      <c r="AO31" s="81"/>
      <c r="AP31" s="81"/>
      <c r="AQ31" s="81"/>
      <c r="AR31" s="81"/>
      <c r="AS31" s="81"/>
      <c r="AT31" s="81"/>
      <c r="AU31" s="81"/>
      <c r="AV31" s="81"/>
      <c r="AW31" s="81"/>
      <c r="AX31" s="81" t="s">
        <v>255</v>
      </c>
      <c r="AY31" s="81"/>
      <c r="AZ31" s="81"/>
      <c r="BA31" s="81"/>
      <c r="BB31" s="81"/>
      <c r="BC31" s="81"/>
      <c r="BD31" s="81"/>
    </row>
    <row r="32" spans="2:56" x14ac:dyDescent="0.4">
      <c r="E32" s="81"/>
      <c r="F32" s="81"/>
      <c r="G32" s="81"/>
      <c r="H32" s="81"/>
      <c r="I32" s="81"/>
      <c r="J32" s="81"/>
      <c r="K32" s="81"/>
      <c r="L32" s="81"/>
      <c r="M32" s="81"/>
      <c r="N32" s="81"/>
      <c r="O32" s="81"/>
      <c r="P32" s="81"/>
      <c r="Q32" s="81"/>
      <c r="R32" s="81"/>
      <c r="S32" s="81"/>
      <c r="T32" s="81"/>
      <c r="U32" s="81"/>
      <c r="V32" s="81"/>
      <c r="W32" s="81"/>
      <c r="X32" s="81"/>
      <c r="Y32" s="81"/>
      <c r="Z32" s="81"/>
      <c r="AA32" s="81"/>
      <c r="AB32" s="81"/>
      <c r="AC32" s="81"/>
      <c r="AD32" s="81"/>
      <c r="AE32" s="81"/>
      <c r="AF32" s="82"/>
      <c r="AG32" s="82"/>
      <c r="AH32" s="82"/>
      <c r="AI32" s="82"/>
      <c r="AJ32" s="82"/>
      <c r="AK32" s="82"/>
      <c r="AL32" s="82"/>
      <c r="AM32" s="82"/>
      <c r="AN32" s="82"/>
      <c r="AO32" s="82"/>
      <c r="AP32" s="82"/>
      <c r="AQ32" s="82"/>
      <c r="AR32" s="82"/>
      <c r="AS32" s="82"/>
      <c r="AT32" s="82"/>
      <c r="AU32" s="82"/>
      <c r="AV32" s="82"/>
      <c r="AW32" s="82"/>
      <c r="AX32" s="82"/>
      <c r="AY32" s="83" t="s">
        <v>256</v>
      </c>
      <c r="AZ32" s="81"/>
      <c r="BA32" s="81"/>
      <c r="BB32" s="81"/>
      <c r="BC32" s="81"/>
      <c r="BD32" s="81"/>
    </row>
    <row r="34" spans="2:56" x14ac:dyDescent="0.4">
      <c r="B34" s="61" t="s">
        <v>257</v>
      </c>
    </row>
    <row r="35" spans="2:56" x14ac:dyDescent="0.4">
      <c r="C35" s="62" t="s">
        <v>258</v>
      </c>
      <c r="D35" s="63"/>
      <c r="E35" s="63"/>
      <c r="F35" s="63"/>
      <c r="G35" s="63"/>
      <c r="H35" s="63"/>
      <c r="I35" s="63"/>
      <c r="J35" s="63"/>
      <c r="K35" s="63"/>
      <c r="L35" s="64"/>
      <c r="M35" s="62" t="s">
        <v>259</v>
      </c>
      <c r="N35" s="63"/>
      <c r="O35" s="63"/>
      <c r="P35" s="63"/>
      <c r="Q35" s="63"/>
      <c r="R35" s="63"/>
      <c r="S35" s="63"/>
      <c r="T35" s="63"/>
      <c r="U35" s="63"/>
      <c r="V35" s="63"/>
      <c r="W35" s="63"/>
      <c r="X35" s="63"/>
      <c r="Y35" s="63"/>
      <c r="Z35" s="63"/>
      <c r="AA35" s="63"/>
      <c r="AB35" s="63"/>
      <c r="AC35" s="63"/>
      <c r="AD35" s="63"/>
      <c r="AE35" s="63"/>
      <c r="AF35" s="63"/>
      <c r="AG35" s="63"/>
      <c r="AH35" s="64"/>
    </row>
    <row r="36" spans="2:56" x14ac:dyDescent="0.4">
      <c r="C36" s="65" t="s">
        <v>231</v>
      </c>
      <c r="D36" s="66"/>
      <c r="E36" s="66"/>
      <c r="F36" s="66"/>
      <c r="G36" s="66"/>
      <c r="H36" s="66"/>
      <c r="I36" s="66"/>
      <c r="J36" s="66"/>
      <c r="K36" s="66"/>
      <c r="L36" s="67"/>
      <c r="M36" s="65" t="s">
        <v>232</v>
      </c>
      <c r="N36" s="66"/>
      <c r="O36" s="66"/>
      <c r="P36" s="66"/>
      <c r="Q36" s="66"/>
      <c r="R36" s="66"/>
      <c r="S36" s="66"/>
      <c r="T36" s="66"/>
      <c r="U36" s="66"/>
      <c r="V36" s="66"/>
      <c r="W36" s="66"/>
      <c r="X36" s="66"/>
      <c r="Y36" s="66"/>
      <c r="Z36" s="66"/>
      <c r="AA36" s="66"/>
      <c r="AB36" s="66"/>
      <c r="AC36" s="66"/>
      <c r="AD36" s="66"/>
      <c r="AE36" s="66"/>
      <c r="AF36" s="66"/>
      <c r="AG36" s="66"/>
      <c r="AH36" s="67"/>
    </row>
    <row r="37" spans="2:56" x14ac:dyDescent="0.4">
      <c r="C37" s="62" t="s">
        <v>260</v>
      </c>
      <c r="D37" s="63"/>
      <c r="E37" s="63"/>
      <c r="F37" s="63"/>
      <c r="G37" s="63"/>
      <c r="H37" s="63"/>
      <c r="I37" s="63"/>
      <c r="J37" s="63"/>
      <c r="K37" s="63"/>
      <c r="L37" s="64"/>
      <c r="M37" s="62" t="s">
        <v>261</v>
      </c>
      <c r="N37" s="63"/>
      <c r="O37" s="63"/>
      <c r="P37" s="63"/>
      <c r="Q37" s="63"/>
      <c r="R37" s="63"/>
      <c r="S37" s="63"/>
      <c r="T37" s="63"/>
      <c r="U37" s="63"/>
      <c r="V37" s="63"/>
      <c r="W37" s="63"/>
      <c r="X37" s="63"/>
      <c r="Y37" s="63"/>
      <c r="Z37" s="63"/>
      <c r="AA37" s="63"/>
      <c r="AB37" s="63"/>
      <c r="AC37" s="63"/>
      <c r="AD37" s="63"/>
      <c r="AE37" s="63"/>
      <c r="AF37" s="63"/>
      <c r="AG37" s="63"/>
      <c r="AH37" s="64"/>
    </row>
    <row r="38" spans="2:56" x14ac:dyDescent="0.4">
      <c r="C38" s="65"/>
      <c r="D38" s="66"/>
      <c r="E38" s="66"/>
      <c r="F38" s="66"/>
      <c r="G38" s="66"/>
      <c r="H38" s="66"/>
      <c r="I38" s="66"/>
      <c r="J38" s="66"/>
      <c r="K38" s="66"/>
      <c r="L38" s="67"/>
      <c r="M38" s="65" t="s">
        <v>262</v>
      </c>
      <c r="N38" s="66"/>
      <c r="O38" s="66"/>
      <c r="P38" s="66"/>
      <c r="Q38" s="66"/>
      <c r="R38" s="66"/>
      <c r="S38" s="66"/>
      <c r="T38" s="66"/>
      <c r="U38" s="66"/>
      <c r="V38" s="66"/>
      <c r="W38" s="66"/>
      <c r="X38" s="66"/>
      <c r="Y38" s="66"/>
      <c r="Z38" s="66"/>
      <c r="AA38" s="66"/>
      <c r="AB38" s="66"/>
      <c r="AC38" s="66"/>
      <c r="AD38" s="66"/>
      <c r="AE38" s="66"/>
      <c r="AF38" s="66"/>
      <c r="AG38" s="66"/>
      <c r="AH38" s="67"/>
    </row>
    <row r="40" spans="2:56" ht="23.25" x14ac:dyDescent="0.4">
      <c r="B40" s="92" t="s">
        <v>263</v>
      </c>
      <c r="C40" s="93"/>
      <c r="D40" s="93"/>
      <c r="E40" s="93"/>
      <c r="F40" s="93"/>
      <c r="G40" s="93"/>
      <c r="H40" s="93"/>
      <c r="I40" s="93"/>
      <c r="J40" s="93"/>
      <c r="K40" s="93"/>
      <c r="L40" s="93"/>
      <c r="M40" s="93"/>
      <c r="N40" s="93"/>
      <c r="O40" s="93"/>
      <c r="P40" s="93"/>
      <c r="Q40" s="93"/>
      <c r="R40" s="93"/>
      <c r="S40" s="93"/>
      <c r="T40" s="93"/>
      <c r="U40" s="93"/>
      <c r="V40" s="93"/>
      <c r="W40" s="93"/>
      <c r="X40" s="93"/>
      <c r="Y40" s="93"/>
      <c r="Z40" s="93"/>
      <c r="AA40" s="93"/>
      <c r="AB40" s="93"/>
      <c r="AC40" s="93"/>
      <c r="AD40" s="93"/>
      <c r="AE40" s="93"/>
      <c r="AF40" s="93"/>
      <c r="AG40" s="93"/>
      <c r="AH40" s="93"/>
      <c r="AI40" s="93"/>
      <c r="AJ40" s="93"/>
      <c r="AK40" s="93"/>
      <c r="AL40" s="93"/>
      <c r="AM40" s="93"/>
      <c r="AN40" s="93"/>
      <c r="AO40" s="93"/>
      <c r="AP40" s="93"/>
      <c r="AQ40" s="93"/>
      <c r="AR40" s="93"/>
      <c r="AS40" s="93"/>
      <c r="AT40" s="93"/>
      <c r="AU40" s="93"/>
      <c r="AV40" s="93"/>
      <c r="AW40" s="93"/>
      <c r="AX40" s="93"/>
      <c r="AY40" s="93"/>
    </row>
    <row r="41" spans="2:56" x14ac:dyDescent="0.4">
      <c r="B41" s="72" t="s">
        <v>242</v>
      </c>
      <c r="C41" s="73">
        <v>18</v>
      </c>
      <c r="D41" s="73">
        <v>19</v>
      </c>
      <c r="E41" s="73">
        <v>20</v>
      </c>
      <c r="F41" s="73">
        <v>21</v>
      </c>
      <c r="G41" s="73">
        <v>22</v>
      </c>
      <c r="H41" s="73">
        <v>23</v>
      </c>
      <c r="I41" s="73">
        <v>24</v>
      </c>
      <c r="J41" s="73">
        <v>25</v>
      </c>
      <c r="K41" s="73">
        <v>26</v>
      </c>
      <c r="L41" s="73">
        <v>27</v>
      </c>
      <c r="M41" s="73">
        <v>28</v>
      </c>
      <c r="N41" s="73">
        <v>29</v>
      </c>
      <c r="O41" s="73">
        <v>30</v>
      </c>
      <c r="P41" s="73">
        <v>31</v>
      </c>
      <c r="Q41" s="73">
        <v>32</v>
      </c>
      <c r="R41" s="73">
        <v>33</v>
      </c>
      <c r="S41" s="73">
        <v>34</v>
      </c>
      <c r="T41" s="73">
        <v>35</v>
      </c>
      <c r="U41" s="73">
        <v>36</v>
      </c>
      <c r="V41" s="73">
        <v>37</v>
      </c>
      <c r="W41" s="73">
        <v>38</v>
      </c>
      <c r="X41" s="73">
        <v>39</v>
      </c>
      <c r="Y41" s="73">
        <v>40</v>
      </c>
      <c r="Z41" s="73">
        <v>41</v>
      </c>
      <c r="AA41" s="73">
        <v>42</v>
      </c>
      <c r="AB41" s="73">
        <v>43</v>
      </c>
      <c r="AC41" s="73">
        <v>44</v>
      </c>
      <c r="AD41" s="73">
        <v>45</v>
      </c>
      <c r="AE41" s="73">
        <v>46</v>
      </c>
      <c r="AF41" s="73">
        <v>47</v>
      </c>
      <c r="AG41" s="73">
        <v>48</v>
      </c>
      <c r="AH41" s="73">
        <v>49</v>
      </c>
      <c r="AI41" s="73">
        <v>50</v>
      </c>
      <c r="AJ41" s="73">
        <v>51</v>
      </c>
      <c r="AK41" s="73">
        <v>52</v>
      </c>
      <c r="AL41" s="73">
        <v>53</v>
      </c>
      <c r="AM41" s="73">
        <v>54</v>
      </c>
      <c r="AN41" s="73">
        <v>55</v>
      </c>
      <c r="AO41" s="73">
        <v>56</v>
      </c>
      <c r="AP41" s="73">
        <v>57</v>
      </c>
      <c r="AQ41" s="73">
        <v>58</v>
      </c>
      <c r="AR41" s="73">
        <v>59</v>
      </c>
      <c r="AS41" s="73">
        <v>60</v>
      </c>
      <c r="AT41" s="73">
        <v>61</v>
      </c>
      <c r="AU41" s="73">
        <v>62</v>
      </c>
      <c r="AV41" s="73">
        <v>63</v>
      </c>
      <c r="AW41" s="73">
        <v>64</v>
      </c>
      <c r="AX41" s="73">
        <v>65</v>
      </c>
      <c r="AY41" s="73">
        <v>66</v>
      </c>
      <c r="AZ41" s="73">
        <v>67</v>
      </c>
      <c r="BA41" s="74"/>
      <c r="BB41" s="74"/>
      <c r="BC41" s="74"/>
      <c r="BD41" s="74"/>
    </row>
    <row r="43" spans="2:56" x14ac:dyDescent="0.4">
      <c r="B43" s="75" t="s">
        <v>264</v>
      </c>
      <c r="C43" s="75"/>
      <c r="D43" s="75"/>
      <c r="E43" s="75"/>
      <c r="F43" s="75"/>
      <c r="G43" s="75"/>
      <c r="H43" s="75"/>
      <c r="I43" s="76"/>
      <c r="J43" s="76"/>
      <c r="K43" s="76"/>
      <c r="L43" s="76"/>
      <c r="M43" s="76"/>
      <c r="N43" s="76"/>
      <c r="O43" s="76"/>
      <c r="P43" s="76"/>
      <c r="Q43" s="76"/>
      <c r="R43" s="76"/>
      <c r="S43" s="76"/>
      <c r="T43" s="76"/>
      <c r="U43" s="76"/>
      <c r="V43" s="76"/>
      <c r="W43" s="76"/>
      <c r="X43" s="76"/>
      <c r="Y43" s="76"/>
      <c r="Z43" s="76"/>
      <c r="AA43" s="76"/>
      <c r="AB43" s="76"/>
      <c r="AC43" s="76"/>
      <c r="AD43" s="76"/>
      <c r="AE43" s="76"/>
      <c r="AF43" s="76"/>
      <c r="AG43" s="76"/>
      <c r="AH43" s="76"/>
      <c r="AI43" s="76"/>
      <c r="AJ43" s="76"/>
      <c r="AK43" s="76"/>
      <c r="AL43" s="76"/>
      <c r="AM43" s="76"/>
      <c r="AN43" s="76"/>
      <c r="AO43" s="76"/>
      <c r="AP43" s="76"/>
      <c r="AQ43" s="76"/>
      <c r="AR43" s="76"/>
      <c r="AS43" s="76"/>
      <c r="AT43" s="76"/>
      <c r="AU43" s="76"/>
      <c r="AV43" s="76"/>
      <c r="AW43" s="76"/>
      <c r="AX43" s="76" t="s">
        <v>244</v>
      </c>
      <c r="AY43" s="76"/>
      <c r="AZ43" s="76"/>
      <c r="BA43" s="76"/>
      <c r="BB43" s="76"/>
      <c r="BC43" s="76"/>
      <c r="BD43" s="76"/>
    </row>
    <row r="44" spans="2:56" x14ac:dyDescent="0.4">
      <c r="B44" s="77" t="s">
        <v>245</v>
      </c>
      <c r="E44" s="78"/>
      <c r="F44" s="78"/>
      <c r="G44" s="78"/>
      <c r="H44" s="78"/>
      <c r="I44" s="78"/>
      <c r="J44" s="78"/>
      <c r="K44" s="78"/>
      <c r="L44" s="78"/>
      <c r="M44" s="78"/>
      <c r="N44" s="78"/>
      <c r="O44" s="78"/>
      <c r="P44" s="78"/>
      <c r="Q44" s="78"/>
      <c r="R44" s="78"/>
      <c r="S44" s="78"/>
      <c r="T44" s="78"/>
      <c r="U44" s="78"/>
      <c r="V44" s="78"/>
      <c r="W44" s="78"/>
      <c r="X44" s="78"/>
      <c r="Y44" s="78"/>
      <c r="Z44" s="78"/>
      <c r="AA44" s="78"/>
      <c r="AB44" s="78"/>
      <c r="AC44" s="78"/>
      <c r="AD44" s="78"/>
      <c r="AE44" s="78"/>
      <c r="AF44" s="78"/>
      <c r="AG44" s="78"/>
      <c r="AH44" s="78"/>
      <c r="AI44" s="78"/>
      <c r="AJ44" s="78"/>
      <c r="AK44" s="78"/>
      <c r="AL44" s="78"/>
      <c r="AM44" s="78"/>
      <c r="AN44" s="78"/>
      <c r="AO44" s="78"/>
      <c r="AP44" s="78"/>
      <c r="AQ44" s="78"/>
      <c r="AR44" s="78"/>
      <c r="AS44" s="78"/>
      <c r="AT44" s="78"/>
      <c r="AU44" s="78"/>
      <c r="AV44" s="78"/>
      <c r="AW44" s="78"/>
      <c r="AX44" s="78"/>
    </row>
    <row r="45" spans="2:56" x14ac:dyDescent="0.4">
      <c r="B45" s="77" t="s">
        <v>265</v>
      </c>
      <c r="O45" s="79"/>
      <c r="P45" s="79"/>
      <c r="Q45" s="79"/>
      <c r="R45" s="79"/>
      <c r="S45" s="79"/>
      <c r="T45" s="79"/>
      <c r="U45" s="79"/>
      <c r="V45" s="79"/>
      <c r="W45" s="79"/>
      <c r="X45" s="79"/>
      <c r="Y45" s="79"/>
      <c r="Z45" s="79"/>
      <c r="AA45" s="79"/>
      <c r="AB45" s="79"/>
      <c r="AC45" s="79"/>
      <c r="AD45" s="79"/>
      <c r="AE45" s="79"/>
      <c r="AF45" s="79"/>
      <c r="AG45" s="79"/>
      <c r="AH45" s="79"/>
      <c r="AI45" s="79"/>
      <c r="AJ45" s="79"/>
      <c r="AK45" s="79"/>
      <c r="AL45" s="79"/>
      <c r="AM45" s="79"/>
      <c r="AN45" s="79"/>
      <c r="AO45" s="79"/>
      <c r="AP45" s="79"/>
      <c r="AQ45" s="79"/>
      <c r="AR45" s="79"/>
      <c r="AS45" s="79"/>
    </row>
    <row r="46" spans="2:56" x14ac:dyDescent="0.4">
      <c r="B46" s="77" t="s">
        <v>247</v>
      </c>
      <c r="O46" s="80"/>
      <c r="P46" s="80"/>
      <c r="Q46" s="80"/>
      <c r="R46" s="80"/>
      <c r="S46" s="80"/>
      <c r="T46" s="80"/>
      <c r="U46" s="80"/>
      <c r="V46" s="80"/>
      <c r="W46" s="80"/>
      <c r="X46" s="80"/>
      <c r="Y46" s="80"/>
      <c r="Z46" s="80"/>
      <c r="AA46" s="80"/>
      <c r="AB46" s="80"/>
      <c r="AC46" s="80"/>
      <c r="AD46" s="80"/>
      <c r="AE46" s="80"/>
      <c r="AF46" s="80"/>
      <c r="AG46" s="80"/>
      <c r="AH46" s="80"/>
      <c r="AI46" s="80"/>
      <c r="AJ46" s="80"/>
      <c r="AK46" s="80"/>
      <c r="AL46" s="80"/>
      <c r="AM46" s="80"/>
      <c r="AN46" s="80"/>
      <c r="AO46" s="80"/>
      <c r="AP46" s="80"/>
      <c r="AQ46" s="80"/>
      <c r="AR46" s="80"/>
      <c r="AS46" s="80"/>
    </row>
    <row r="47" spans="2:56" x14ac:dyDescent="0.4">
      <c r="B47" s="77" t="s">
        <v>248</v>
      </c>
      <c r="E47" s="81"/>
      <c r="F47" s="81"/>
      <c r="G47" s="81"/>
      <c r="H47" s="81"/>
      <c r="I47" s="81"/>
      <c r="J47" s="81"/>
      <c r="K47" s="81"/>
      <c r="L47" s="81"/>
      <c r="M47" s="81"/>
      <c r="N47" s="81"/>
      <c r="O47" s="81"/>
      <c r="P47" s="81"/>
      <c r="Q47" s="81"/>
      <c r="R47" s="81"/>
      <c r="S47" s="81"/>
      <c r="T47" s="81"/>
      <c r="U47" s="81"/>
      <c r="V47" s="81"/>
      <c r="W47" s="81"/>
      <c r="X47" s="81"/>
      <c r="Y47" s="81"/>
      <c r="Z47" s="81"/>
      <c r="AA47" s="81"/>
      <c r="AB47" s="81"/>
      <c r="AC47" s="81"/>
      <c r="AD47" s="81"/>
      <c r="AE47" s="81"/>
      <c r="AF47" s="81"/>
      <c r="AG47" s="81"/>
      <c r="AH47" s="81"/>
      <c r="AI47" s="81"/>
      <c r="AJ47" s="81"/>
      <c r="AK47" s="81"/>
      <c r="AL47" s="81"/>
      <c r="AM47" s="81"/>
      <c r="AN47" s="81"/>
      <c r="AO47" s="81"/>
      <c r="AP47" s="81"/>
      <c r="AQ47" s="81"/>
      <c r="AR47" s="81"/>
      <c r="AS47" s="81" t="s">
        <v>266</v>
      </c>
      <c r="AT47" s="81"/>
      <c r="AU47" s="81"/>
      <c r="AV47" s="81"/>
      <c r="AW47" s="81"/>
      <c r="AX47" s="81"/>
      <c r="AY47" s="81"/>
      <c r="AZ47" s="81"/>
      <c r="BA47" s="81"/>
      <c r="BB47" s="81"/>
      <c r="BC47" s="81"/>
      <c r="BD47" s="81"/>
    </row>
    <row r="48" spans="2:56" x14ac:dyDescent="0.4">
      <c r="E48" s="81"/>
      <c r="F48" s="81"/>
      <c r="G48" s="81"/>
      <c r="H48" s="81"/>
      <c r="I48" s="81"/>
      <c r="J48" s="81"/>
      <c r="K48" s="81"/>
      <c r="L48" s="81"/>
      <c r="M48" s="81"/>
      <c r="N48" s="81"/>
      <c r="O48" s="81"/>
      <c r="P48" s="81"/>
      <c r="Q48" s="81"/>
      <c r="R48" s="81"/>
      <c r="S48" s="81"/>
      <c r="T48" s="81"/>
      <c r="U48" s="81"/>
      <c r="V48" s="81"/>
      <c r="W48" s="81"/>
      <c r="X48" s="81"/>
      <c r="Y48" s="81"/>
      <c r="Z48" s="81"/>
      <c r="AA48" s="81"/>
      <c r="AB48" s="81"/>
      <c r="AC48" s="81"/>
      <c r="AD48" s="81"/>
      <c r="AE48" s="81"/>
      <c r="AF48" s="81"/>
      <c r="AG48" s="81"/>
      <c r="AH48" s="81"/>
      <c r="AI48" s="81"/>
      <c r="AJ48" s="81"/>
      <c r="AK48" s="81"/>
      <c r="AL48" s="81"/>
      <c r="AM48" s="81"/>
      <c r="AN48" s="81"/>
      <c r="AO48" s="81"/>
      <c r="AU48" s="82"/>
      <c r="AV48" s="82"/>
      <c r="AW48" s="82"/>
      <c r="AX48" s="82"/>
      <c r="AY48" s="83" t="s">
        <v>267</v>
      </c>
      <c r="AZ48" s="81"/>
      <c r="BA48" s="81"/>
      <c r="BB48" s="81"/>
      <c r="BC48" s="81"/>
      <c r="BD48" s="81"/>
    </row>
    <row r="49" spans="2:56" x14ac:dyDescent="0.4">
      <c r="B49" s="90" t="s">
        <v>251</v>
      </c>
      <c r="C49" s="89"/>
      <c r="D49" s="89"/>
      <c r="E49" s="89"/>
      <c r="F49" s="89"/>
      <c r="G49" s="89"/>
      <c r="H49" s="89"/>
      <c r="I49" s="89"/>
      <c r="J49" s="89"/>
      <c r="K49" s="89"/>
      <c r="L49" s="89"/>
      <c r="M49" s="89"/>
      <c r="N49" s="89"/>
      <c r="O49" s="89"/>
      <c r="P49" s="89"/>
    </row>
    <row r="50" spans="2:56" x14ac:dyDescent="0.4">
      <c r="B50" s="88" t="s">
        <v>268</v>
      </c>
      <c r="C50" s="89"/>
      <c r="D50" s="89"/>
      <c r="E50" s="89"/>
      <c r="F50" s="89"/>
      <c r="G50" s="89"/>
      <c r="H50" s="89"/>
      <c r="I50" s="89"/>
      <c r="J50" s="89"/>
      <c r="K50" s="89"/>
      <c r="L50" s="89"/>
      <c r="M50" s="89"/>
      <c r="N50" s="89"/>
      <c r="O50" s="89"/>
      <c r="P50" s="89"/>
      <c r="Q50" s="89"/>
      <c r="R50" s="89"/>
      <c r="S50" s="89"/>
      <c r="T50" s="89"/>
      <c r="U50" s="89"/>
      <c r="V50" s="89"/>
      <c r="W50" s="89"/>
      <c r="X50" s="89"/>
      <c r="Y50" s="89"/>
      <c r="Z50" s="89"/>
    </row>
    <row r="51" spans="2:56" x14ac:dyDescent="0.4">
      <c r="B51" s="61" t="s">
        <v>269</v>
      </c>
    </row>
    <row r="53" spans="2:56" x14ac:dyDescent="0.4">
      <c r="B53" s="75" t="s">
        <v>270</v>
      </c>
      <c r="C53" s="75"/>
      <c r="D53" s="75"/>
      <c r="E53" s="75"/>
      <c r="F53" s="75"/>
      <c r="G53" s="75"/>
      <c r="H53" s="75"/>
      <c r="I53" s="76"/>
      <c r="J53" s="76"/>
      <c r="K53" s="76"/>
      <c r="L53" s="76"/>
      <c r="M53" s="76"/>
      <c r="N53" s="76"/>
      <c r="O53" s="76"/>
      <c r="P53" s="76"/>
      <c r="Q53" s="76"/>
      <c r="R53" s="76"/>
      <c r="S53" s="76"/>
      <c r="T53" s="76"/>
      <c r="U53" s="76"/>
      <c r="V53" s="76"/>
      <c r="W53" s="76"/>
      <c r="X53" s="76"/>
      <c r="Y53" s="76"/>
      <c r="Z53" s="76"/>
      <c r="AA53" s="76"/>
      <c r="AB53" s="76"/>
      <c r="AC53" s="76"/>
      <c r="AD53" s="76"/>
      <c r="AE53" s="76"/>
      <c r="AF53" s="76"/>
      <c r="AG53" s="76"/>
      <c r="AH53" s="76"/>
      <c r="AI53" s="76"/>
      <c r="AJ53" s="76"/>
      <c r="AK53" s="76"/>
      <c r="AL53" s="76"/>
      <c r="AM53" s="76"/>
      <c r="AN53" s="76"/>
      <c r="AO53" s="76"/>
      <c r="AP53" s="76"/>
      <c r="AQ53" s="76"/>
      <c r="AR53" s="76"/>
      <c r="AS53" s="76" t="s">
        <v>254</v>
      </c>
      <c r="AT53" s="76"/>
      <c r="AU53" s="76"/>
      <c r="AV53" s="76"/>
      <c r="AW53" s="76"/>
      <c r="AX53" s="76"/>
      <c r="AY53" s="76"/>
      <c r="AZ53" s="76"/>
      <c r="BA53" s="76"/>
      <c r="BB53" s="76"/>
      <c r="BC53" s="76"/>
      <c r="BD53" s="76"/>
    </row>
    <row r="54" spans="2:56" x14ac:dyDescent="0.4">
      <c r="B54" s="77" t="s">
        <v>245</v>
      </c>
      <c r="E54" s="78"/>
      <c r="F54" s="78"/>
      <c r="G54" s="78"/>
      <c r="H54" s="78"/>
      <c r="I54" s="78"/>
      <c r="J54" s="78"/>
      <c r="K54" s="78"/>
      <c r="L54" s="78"/>
      <c r="M54" s="78"/>
      <c r="N54" s="78"/>
      <c r="O54" s="78"/>
      <c r="P54" s="78"/>
      <c r="Q54" s="78"/>
      <c r="R54" s="78"/>
      <c r="S54" s="78"/>
      <c r="T54" s="78"/>
      <c r="U54" s="78"/>
      <c r="V54" s="78"/>
      <c r="W54" s="78"/>
      <c r="X54" s="78"/>
      <c r="Y54" s="78"/>
      <c r="Z54" s="78"/>
      <c r="AA54" s="78"/>
      <c r="AB54" s="78"/>
      <c r="AC54" s="78"/>
      <c r="AD54" s="78"/>
      <c r="AE54" s="78"/>
      <c r="AF54" s="78"/>
      <c r="AG54" s="78"/>
      <c r="AH54" s="78"/>
      <c r="AI54" s="78"/>
      <c r="AJ54" s="78"/>
      <c r="AK54" s="78"/>
      <c r="AL54" s="78"/>
      <c r="AM54" s="78"/>
      <c r="AN54" s="78"/>
      <c r="AO54" s="78"/>
      <c r="AP54" s="78"/>
      <c r="AQ54" s="78"/>
      <c r="AR54" s="78"/>
      <c r="AS54" s="78"/>
    </row>
    <row r="55" spans="2:56" x14ac:dyDescent="0.4">
      <c r="B55" s="77" t="s">
        <v>265</v>
      </c>
      <c r="O55" s="79"/>
      <c r="P55" s="79"/>
      <c r="Q55" s="79"/>
      <c r="R55" s="79"/>
      <c r="S55" s="79"/>
      <c r="T55" s="79"/>
      <c r="U55" s="79"/>
      <c r="V55" s="79"/>
      <c r="W55" s="79"/>
      <c r="X55" s="79"/>
      <c r="Y55" s="79"/>
      <c r="Z55" s="79"/>
      <c r="AA55" s="79"/>
      <c r="AB55" s="79"/>
      <c r="AC55" s="79"/>
      <c r="AD55" s="79"/>
      <c r="AE55" s="79"/>
      <c r="AF55" s="79"/>
      <c r="AG55" s="79"/>
      <c r="AH55" s="79"/>
      <c r="AI55" s="79"/>
      <c r="AJ55" s="79"/>
      <c r="AK55" s="79"/>
      <c r="AL55" s="79"/>
      <c r="AM55" s="79"/>
      <c r="AN55" s="79"/>
      <c r="AO55" s="79"/>
      <c r="AP55" s="79"/>
      <c r="AQ55" s="79"/>
      <c r="AR55" s="79"/>
      <c r="AS55" s="79"/>
      <c r="AT55" s="79"/>
      <c r="AU55" s="79"/>
      <c r="AV55" s="79"/>
      <c r="AW55" s="79"/>
      <c r="AX55" s="79"/>
    </row>
    <row r="56" spans="2:56" x14ac:dyDescent="0.4">
      <c r="B56" s="77" t="s">
        <v>247</v>
      </c>
      <c r="O56" s="80"/>
      <c r="P56" s="80"/>
      <c r="Q56" s="80"/>
      <c r="R56" s="80"/>
      <c r="S56" s="80"/>
      <c r="T56" s="80"/>
      <c r="U56" s="80"/>
      <c r="V56" s="80"/>
      <c r="W56" s="80"/>
      <c r="X56" s="80"/>
      <c r="Y56" s="80"/>
      <c r="Z56" s="80"/>
      <c r="AA56" s="80"/>
      <c r="AB56" s="80"/>
      <c r="AC56" s="80"/>
      <c r="AD56" s="80"/>
      <c r="AE56" s="80"/>
      <c r="AF56" s="80"/>
      <c r="AG56" s="80"/>
      <c r="AH56" s="80"/>
      <c r="AI56" s="80"/>
      <c r="AJ56" s="80"/>
      <c r="AK56" s="80"/>
      <c r="AL56" s="80"/>
      <c r="AM56" s="80"/>
      <c r="AN56" s="80"/>
      <c r="AO56" s="80"/>
      <c r="AP56" s="80"/>
      <c r="AQ56" s="80"/>
      <c r="AR56" s="80"/>
      <c r="AS56" s="80"/>
      <c r="AT56" s="80"/>
      <c r="AU56" s="80"/>
      <c r="AV56" s="80"/>
      <c r="AW56" s="80"/>
      <c r="AX56" s="80"/>
    </row>
    <row r="57" spans="2:56" x14ac:dyDescent="0.4">
      <c r="B57" s="77" t="s">
        <v>248</v>
      </c>
      <c r="E57" s="81"/>
      <c r="F57" s="81"/>
      <c r="G57" s="81"/>
      <c r="H57" s="81"/>
      <c r="I57" s="81"/>
      <c r="J57" s="81"/>
      <c r="K57" s="81"/>
      <c r="L57" s="81"/>
      <c r="M57" s="81"/>
      <c r="N57" s="81"/>
      <c r="O57" s="81"/>
      <c r="P57" s="81"/>
      <c r="Q57" s="81"/>
      <c r="R57" s="81"/>
      <c r="S57" s="81"/>
      <c r="T57" s="81"/>
      <c r="U57" s="81"/>
      <c r="V57" s="81"/>
      <c r="W57" s="81"/>
      <c r="X57" s="81"/>
      <c r="Y57" s="81"/>
      <c r="Z57" s="81"/>
      <c r="AA57" s="81"/>
      <c r="AB57" s="81"/>
      <c r="AC57" s="81"/>
      <c r="AD57" s="81"/>
      <c r="AE57" s="81"/>
      <c r="AF57" s="81"/>
      <c r="AG57" s="81"/>
      <c r="AH57" s="81"/>
      <c r="AI57" s="81"/>
      <c r="AJ57" s="81"/>
      <c r="AK57" s="81"/>
      <c r="AL57" s="81"/>
      <c r="AM57" s="81"/>
      <c r="AN57" s="81"/>
      <c r="AO57" s="81"/>
      <c r="AP57" s="81"/>
      <c r="AQ57" s="81"/>
      <c r="AR57" s="81"/>
      <c r="AS57" s="81"/>
      <c r="AT57" s="81"/>
      <c r="AU57" s="81"/>
      <c r="AV57" s="81"/>
      <c r="AW57" s="81"/>
      <c r="AX57" s="81" t="s">
        <v>271</v>
      </c>
      <c r="AY57" s="81"/>
      <c r="AZ57" s="81"/>
      <c r="BA57" s="81"/>
      <c r="BB57" s="81"/>
      <c r="BC57" s="81"/>
      <c r="BD57" s="81"/>
    </row>
    <row r="58" spans="2:56" x14ac:dyDescent="0.4">
      <c r="E58" s="81"/>
      <c r="F58" s="81"/>
      <c r="G58" s="81"/>
      <c r="H58" s="81"/>
      <c r="I58" s="81"/>
      <c r="J58" s="81"/>
      <c r="K58" s="81"/>
      <c r="L58" s="81"/>
      <c r="M58" s="81"/>
      <c r="N58" s="81"/>
      <c r="O58" s="81"/>
      <c r="P58" s="81"/>
      <c r="Q58" s="81"/>
      <c r="R58" s="81"/>
      <c r="S58" s="81"/>
      <c r="T58" s="81"/>
      <c r="U58" s="81"/>
      <c r="V58" s="81"/>
      <c r="W58" s="81"/>
      <c r="X58" s="81"/>
      <c r="Y58" s="81"/>
      <c r="Z58" s="81"/>
      <c r="AA58" s="81"/>
      <c r="AB58" s="81"/>
      <c r="AC58" s="81"/>
      <c r="AU58" s="82"/>
      <c r="AV58" s="82"/>
      <c r="AW58" s="82"/>
      <c r="AX58" s="82"/>
      <c r="AY58" s="83" t="s">
        <v>267</v>
      </c>
      <c r="AZ58" s="81"/>
      <c r="BA58" s="81"/>
      <c r="BB58" s="81"/>
      <c r="BC58" s="81"/>
      <c r="BD58" s="81"/>
    </row>
    <row r="59" spans="2:56" x14ac:dyDescent="0.4">
      <c r="B59" s="90" t="s">
        <v>272</v>
      </c>
      <c r="C59" s="89"/>
      <c r="D59" s="89"/>
      <c r="E59" s="89"/>
      <c r="F59" s="89"/>
      <c r="G59" s="89"/>
      <c r="H59" s="89"/>
      <c r="I59" s="89"/>
      <c r="J59" s="89"/>
      <c r="K59" s="89"/>
      <c r="L59" s="89"/>
      <c r="M59" s="89"/>
      <c r="N59" s="89"/>
      <c r="O59" s="89"/>
      <c r="P59" s="89"/>
    </row>
    <row r="60" spans="2:56" x14ac:dyDescent="0.4">
      <c r="B60" s="88" t="s">
        <v>268</v>
      </c>
      <c r="C60" s="89"/>
      <c r="D60" s="89"/>
      <c r="E60" s="89"/>
      <c r="F60" s="89"/>
      <c r="G60" s="89"/>
      <c r="H60" s="89"/>
      <c r="I60" s="89"/>
      <c r="J60" s="89"/>
      <c r="K60" s="89"/>
      <c r="L60" s="89"/>
      <c r="M60" s="89"/>
      <c r="N60" s="89"/>
      <c r="O60" s="89"/>
      <c r="P60" s="89"/>
      <c r="Q60" s="89"/>
      <c r="R60" s="89"/>
      <c r="S60" s="89"/>
      <c r="T60" s="89"/>
      <c r="U60" s="89"/>
      <c r="V60" s="89"/>
      <c r="W60" s="89"/>
      <c r="X60" s="89"/>
      <c r="Y60" s="89"/>
      <c r="Z60" s="89"/>
    </row>
    <row r="61" spans="2:56" x14ac:dyDescent="0.4">
      <c r="B61" s="61" t="s">
        <v>269</v>
      </c>
    </row>
    <row r="63" spans="2:56" x14ac:dyDescent="0.4">
      <c r="B63" s="75" t="s">
        <v>273</v>
      </c>
    </row>
    <row r="64" spans="2:56" x14ac:dyDescent="0.4">
      <c r="B64" s="91" t="s">
        <v>274</v>
      </c>
      <c r="C64" s="89"/>
      <c r="D64" s="89"/>
      <c r="E64" s="89"/>
      <c r="F64" s="89"/>
      <c r="G64" s="89"/>
      <c r="H64" s="89"/>
      <c r="I64" s="89"/>
      <c r="J64" s="89"/>
      <c r="K64" s="89"/>
      <c r="L64" s="89"/>
      <c r="M64" s="89"/>
      <c r="N64" s="89"/>
      <c r="O64" s="89"/>
      <c r="P64" s="89"/>
      <c r="Q64" s="89"/>
      <c r="R64" s="89"/>
      <c r="S64" s="89"/>
      <c r="T64" s="89"/>
      <c r="U64" s="89"/>
      <c r="V64" s="89"/>
      <c r="W64" s="89"/>
      <c r="X64" s="89"/>
      <c r="Y64" s="89"/>
      <c r="Z64" s="89"/>
      <c r="AA64" s="89"/>
      <c r="AB64" s="89"/>
      <c r="AC64" s="89"/>
      <c r="AD64" s="89"/>
      <c r="AE64" s="89"/>
      <c r="AF64" s="89"/>
      <c r="AG64" s="89"/>
      <c r="AH64" s="89"/>
      <c r="AI64" s="89"/>
      <c r="AJ64" s="89"/>
      <c r="AK64" s="89"/>
      <c r="AL64" s="89"/>
      <c r="AM64" s="89"/>
      <c r="AN64" s="89"/>
      <c r="AO64" s="89"/>
      <c r="AP64" s="89"/>
      <c r="AQ64" s="89"/>
      <c r="AR64" s="89"/>
      <c r="AS64" s="89"/>
      <c r="AT64" s="89"/>
      <c r="AU64" s="89"/>
      <c r="AV64" s="89"/>
      <c r="AW64" s="89"/>
      <c r="AX64" s="89"/>
      <c r="AY64" s="89"/>
    </row>
    <row r="65" spans="2:51" x14ac:dyDescent="0.4">
      <c r="B65" s="89"/>
      <c r="C65" s="89"/>
      <c r="D65" s="89"/>
      <c r="E65" s="89"/>
      <c r="F65" s="89"/>
      <c r="G65" s="89"/>
      <c r="H65" s="89"/>
      <c r="I65" s="89"/>
      <c r="J65" s="89"/>
      <c r="K65" s="89"/>
      <c r="L65" s="89"/>
      <c r="M65" s="89"/>
      <c r="N65" s="89"/>
      <c r="O65" s="89"/>
      <c r="P65" s="89"/>
      <c r="Q65" s="89"/>
      <c r="R65" s="89"/>
      <c r="S65" s="89"/>
      <c r="T65" s="89"/>
      <c r="U65" s="89"/>
      <c r="V65" s="89"/>
      <c r="W65" s="89"/>
      <c r="X65" s="89"/>
      <c r="Y65" s="89"/>
      <c r="Z65" s="89"/>
      <c r="AA65" s="89"/>
      <c r="AB65" s="89"/>
      <c r="AC65" s="89"/>
      <c r="AD65" s="89"/>
      <c r="AE65" s="89"/>
      <c r="AF65" s="89"/>
      <c r="AG65" s="89"/>
      <c r="AH65" s="89"/>
      <c r="AI65" s="89"/>
      <c r="AJ65" s="89"/>
      <c r="AK65" s="89"/>
      <c r="AL65" s="89"/>
      <c r="AM65" s="89"/>
      <c r="AN65" s="89"/>
      <c r="AO65" s="89"/>
      <c r="AP65" s="89"/>
      <c r="AQ65" s="89"/>
      <c r="AR65" s="89"/>
      <c r="AS65" s="89"/>
      <c r="AT65" s="89"/>
      <c r="AU65" s="89"/>
      <c r="AV65" s="89"/>
      <c r="AW65" s="89"/>
      <c r="AX65" s="89"/>
      <c r="AY65" s="89"/>
    </row>
    <row r="66" spans="2:51" x14ac:dyDescent="0.4">
      <c r="B66" s="89"/>
      <c r="C66" s="89"/>
      <c r="D66" s="89"/>
      <c r="E66" s="89"/>
      <c r="F66" s="89"/>
      <c r="G66" s="89"/>
      <c r="H66" s="89"/>
      <c r="I66" s="89"/>
      <c r="J66" s="89"/>
      <c r="K66" s="89"/>
      <c r="L66" s="89"/>
      <c r="M66" s="89"/>
      <c r="N66" s="89"/>
      <c r="O66" s="89"/>
      <c r="P66" s="89"/>
      <c r="Q66" s="89"/>
      <c r="R66" s="89"/>
      <c r="S66" s="89"/>
      <c r="T66" s="89"/>
      <c r="U66" s="89"/>
      <c r="V66" s="89"/>
      <c r="W66" s="89"/>
      <c r="X66" s="89"/>
      <c r="Y66" s="89"/>
      <c r="Z66" s="89"/>
      <c r="AA66" s="89"/>
      <c r="AB66" s="89"/>
      <c r="AC66" s="89"/>
      <c r="AD66" s="89"/>
      <c r="AE66" s="89"/>
      <c r="AF66" s="89"/>
      <c r="AG66" s="89"/>
      <c r="AH66" s="89"/>
      <c r="AI66" s="89"/>
      <c r="AJ66" s="89"/>
      <c r="AK66" s="89"/>
      <c r="AL66" s="89"/>
      <c r="AM66" s="89"/>
      <c r="AN66" s="89"/>
      <c r="AO66" s="89"/>
      <c r="AP66" s="89"/>
      <c r="AQ66" s="89"/>
      <c r="AR66" s="89"/>
      <c r="AS66" s="89"/>
      <c r="AT66" s="89"/>
      <c r="AU66" s="89"/>
      <c r="AV66" s="89"/>
      <c r="AW66" s="89"/>
      <c r="AX66" s="89"/>
      <c r="AY66" s="89"/>
    </row>
    <row r="68" spans="2:51" x14ac:dyDescent="0.4">
      <c r="B68" s="75" t="s">
        <v>275</v>
      </c>
    </row>
    <row r="69" spans="2:51" x14ac:dyDescent="0.4">
      <c r="B69" s="91" t="s">
        <v>276</v>
      </c>
      <c r="C69" s="89"/>
      <c r="D69" s="89"/>
      <c r="E69" s="89"/>
      <c r="F69" s="89"/>
      <c r="G69" s="89"/>
      <c r="H69" s="89"/>
      <c r="I69" s="89"/>
      <c r="J69" s="89"/>
      <c r="K69" s="89"/>
      <c r="L69" s="89"/>
      <c r="M69" s="89"/>
      <c r="N69" s="89"/>
      <c r="O69" s="89"/>
      <c r="P69" s="89"/>
      <c r="Q69" s="89"/>
      <c r="R69" s="89"/>
      <c r="S69" s="89"/>
      <c r="T69" s="89"/>
      <c r="U69" s="89"/>
      <c r="V69" s="89"/>
      <c r="W69" s="89"/>
      <c r="X69" s="89"/>
      <c r="Y69" s="89"/>
      <c r="Z69" s="89"/>
      <c r="AA69" s="89"/>
      <c r="AB69" s="89"/>
      <c r="AC69" s="89"/>
      <c r="AD69" s="89"/>
      <c r="AE69" s="89"/>
      <c r="AF69" s="89"/>
      <c r="AG69" s="89"/>
      <c r="AH69" s="89"/>
      <c r="AI69" s="89"/>
      <c r="AJ69" s="89"/>
      <c r="AK69" s="89"/>
      <c r="AL69" s="89"/>
      <c r="AM69" s="89"/>
      <c r="AN69" s="89"/>
      <c r="AO69" s="89"/>
      <c r="AP69" s="89"/>
      <c r="AQ69" s="89"/>
      <c r="AR69" s="89"/>
      <c r="AS69" s="89"/>
      <c r="AT69" s="89"/>
      <c r="AU69" s="89"/>
      <c r="AV69" s="89"/>
      <c r="AW69" s="89"/>
      <c r="AX69" s="89"/>
      <c r="AY69" s="89"/>
    </row>
    <row r="70" spans="2:51" x14ac:dyDescent="0.4">
      <c r="B70" s="89"/>
      <c r="C70" s="89"/>
      <c r="D70" s="89"/>
      <c r="E70" s="89"/>
      <c r="F70" s="89"/>
      <c r="G70" s="89"/>
      <c r="H70" s="89"/>
      <c r="I70" s="89"/>
      <c r="J70" s="89"/>
      <c r="K70" s="89"/>
      <c r="L70" s="89"/>
      <c r="M70" s="89"/>
      <c r="N70" s="89"/>
      <c r="O70" s="89"/>
      <c r="P70" s="89"/>
      <c r="Q70" s="89"/>
      <c r="R70" s="89"/>
      <c r="S70" s="89"/>
      <c r="T70" s="89"/>
      <c r="U70" s="89"/>
      <c r="V70" s="89"/>
      <c r="W70" s="89"/>
      <c r="X70" s="89"/>
      <c r="Y70" s="89"/>
      <c r="Z70" s="89"/>
      <c r="AA70" s="89"/>
      <c r="AB70" s="89"/>
      <c r="AC70" s="89"/>
      <c r="AD70" s="89"/>
      <c r="AE70" s="89"/>
      <c r="AF70" s="89"/>
      <c r="AG70" s="89"/>
      <c r="AH70" s="89"/>
      <c r="AI70" s="89"/>
      <c r="AJ70" s="89"/>
      <c r="AK70" s="89"/>
      <c r="AL70" s="89"/>
      <c r="AM70" s="89"/>
      <c r="AN70" s="89"/>
      <c r="AO70" s="89"/>
      <c r="AP70" s="89"/>
      <c r="AQ70" s="89"/>
      <c r="AR70" s="89"/>
      <c r="AS70" s="89"/>
      <c r="AT70" s="89"/>
      <c r="AU70" s="89"/>
      <c r="AV70" s="89"/>
      <c r="AW70" s="89"/>
      <c r="AX70" s="89"/>
      <c r="AY70" s="89"/>
    </row>
  </sheetData>
  <sheetProtection algorithmName="SHA-512" hashValue="oRew7oK5RrebL3ikYbb5mrrqCwtYk96SN7lm2yyxRaPIrPICb7DS7sYEbupYaTok13XO6PM3C0vgC2TZ6/xVQA==" saltValue="3tduD31ZVtNoKEQtwr17xQ==" spinCount="100000" sheet="1" objects="1" scenarios="1"/>
  <mergeCells count="11">
    <mergeCell ref="B49:P49"/>
    <mergeCell ref="B12:AY12"/>
    <mergeCell ref="B13:AY13"/>
    <mergeCell ref="B23:P23"/>
    <mergeCell ref="B24:Z24"/>
    <mergeCell ref="B40:AY40"/>
    <mergeCell ref="B50:Z50"/>
    <mergeCell ref="B59:P59"/>
    <mergeCell ref="B60:Z60"/>
    <mergeCell ref="B64:AY66"/>
    <mergeCell ref="B69:AY70"/>
  </mergeCells>
  <phoneticPr fontId="1"/>
  <pageMargins left="0.75" right="0.75" top="1" bottom="1" header="0.5" footer="0.5"/>
  <pageSetup paperSize="9" scale="41" fitToHeight="0" orientation="portrait" horizontalDpi="4294967293" verticalDpi="0"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7"/>
  <sheetViews>
    <sheetView showGridLines="0" workbookViewId="0">
      <pane ySplit="3" topLeftCell="A4" activePane="bottomLeft" state="frozen"/>
      <selection pane="bottomLeft" sqref="A1:F1"/>
    </sheetView>
  </sheetViews>
  <sheetFormatPr defaultRowHeight="18.75" x14ac:dyDescent="0.4"/>
  <cols>
    <col min="1" max="1" width="30" style="10" customWidth="1"/>
    <col min="2" max="2" width="22.625" style="10" customWidth="1"/>
    <col min="3" max="3" width="44.625" style="10" customWidth="1"/>
    <col min="4" max="4" width="46.375" style="10" customWidth="1"/>
    <col min="5" max="5" width="14.75" style="10" customWidth="1"/>
    <col min="6" max="6" width="12" style="10" customWidth="1"/>
    <col min="7" max="16384" width="9" style="11"/>
  </cols>
  <sheetData>
    <row r="1" spans="1:6" x14ac:dyDescent="0.4">
      <c r="A1" s="97" t="s">
        <v>39</v>
      </c>
      <c r="B1" s="96"/>
      <c r="C1" s="96"/>
      <c r="D1" s="96"/>
      <c r="E1" s="96"/>
      <c r="F1" s="96"/>
    </row>
    <row r="3" spans="1:6" ht="18.75" customHeight="1" x14ac:dyDescent="0.4">
      <c r="A3" s="12" t="s">
        <v>40</v>
      </c>
      <c r="B3" s="12" t="s">
        <v>41</v>
      </c>
      <c r="C3" s="12" t="s">
        <v>18</v>
      </c>
      <c r="D3" s="12" t="s">
        <v>42</v>
      </c>
      <c r="E3" s="12" t="s">
        <v>43</v>
      </c>
      <c r="F3" s="12"/>
    </row>
    <row r="4" spans="1:6" ht="18.75" customHeight="1" x14ac:dyDescent="0.4">
      <c r="A4" s="13" t="s">
        <v>44</v>
      </c>
      <c r="B4" s="20" t="str">
        <f>IF(入力!B18="DC → 会社退職金","企業型DC",IF(入力!B18="会社退職金 → DC","会社退職金","要確認"))</f>
        <v>会社退職金</v>
      </c>
      <c r="C4" s="20" t="s">
        <v>45</v>
      </c>
      <c r="D4" s="13" t="s">
        <v>46</v>
      </c>
      <c r="E4" s="13"/>
      <c r="F4" s="13"/>
    </row>
    <row r="5" spans="1:6" ht="18.75" customHeight="1" x14ac:dyDescent="0.4">
      <c r="A5" s="13" t="s">
        <v>47</v>
      </c>
      <c r="B5" s="21">
        <f>IF(OR(入力!B9="",入力!B13=""),"",MIN(入力!B9,入力!B13))</f>
        <v>47634</v>
      </c>
      <c r="C5" s="21" t="s">
        <v>48</v>
      </c>
      <c r="D5" s="13" t="s">
        <v>49</v>
      </c>
      <c r="E5" s="13"/>
      <c r="F5" s="13"/>
    </row>
    <row r="6" spans="1:6" ht="18.75" customHeight="1" x14ac:dyDescent="0.4">
      <c r="A6" s="13" t="s">
        <v>50</v>
      </c>
      <c r="B6" s="21">
        <f>IF(OR(入力!B9="",入力!B13=""),"",MAX(入力!B9,入力!B13))</f>
        <v>49460</v>
      </c>
      <c r="C6" s="21" t="s">
        <v>51</v>
      </c>
      <c r="D6" s="13" t="s">
        <v>49</v>
      </c>
      <c r="E6" s="13"/>
      <c r="F6" s="13"/>
    </row>
    <row r="7" spans="1:6" ht="18.75" customHeight="1" x14ac:dyDescent="0.4">
      <c r="A7" s="13" t="s">
        <v>52</v>
      </c>
      <c r="B7" s="16">
        <f>IF(B4="企業型DC",入力!B14,IF(B4="会社退職金",入力!B10,""))</f>
        <v>1000000</v>
      </c>
      <c r="C7" s="16" t="s">
        <v>53</v>
      </c>
      <c r="D7" s="13" t="s">
        <v>49</v>
      </c>
      <c r="E7" s="13"/>
      <c r="F7" s="13"/>
    </row>
    <row r="8" spans="1:6" ht="18.75" customHeight="1" x14ac:dyDescent="0.4">
      <c r="A8" s="13" t="s">
        <v>54</v>
      </c>
      <c r="B8" s="16">
        <f>IF(B4="企業型DC",入力!B22,IF(B4="会社退職金",入力!B20,""))</f>
        <v>40</v>
      </c>
      <c r="C8" s="16" t="s">
        <v>55</v>
      </c>
      <c r="D8" s="13" t="s">
        <v>49</v>
      </c>
      <c r="E8" s="13"/>
      <c r="F8" s="13"/>
    </row>
    <row r="9" spans="1:6" ht="18.75" customHeight="1" x14ac:dyDescent="0.4">
      <c r="A9" s="13" t="s">
        <v>56</v>
      </c>
      <c r="B9" s="16">
        <f>IF(B4="企業型DC",入力!B23,IF(B4="会社退職金",入力!B21,""))</f>
        <v>22000000</v>
      </c>
      <c r="C9" s="16" t="s">
        <v>23</v>
      </c>
      <c r="D9" s="13" t="s">
        <v>57</v>
      </c>
      <c r="E9" s="13"/>
      <c r="F9" s="13"/>
    </row>
    <row r="10" spans="1:6" ht="18.75" customHeight="1" x14ac:dyDescent="0.4">
      <c r="A10" s="13" t="s">
        <v>58</v>
      </c>
      <c r="B10" s="16" t="str">
        <f>IF(B7="","",IF(B7&lt;B9,"該当","非該当"))</f>
        <v>該当</v>
      </c>
      <c r="C10" s="16" t="s">
        <v>59</v>
      </c>
      <c r="D10" s="13" t="s">
        <v>60</v>
      </c>
      <c r="E10" s="13"/>
      <c r="F10" s="13"/>
    </row>
    <row r="11" spans="1:6" ht="18.75" customHeight="1" x14ac:dyDescent="0.4">
      <c r="A11" s="13" t="s">
        <v>61</v>
      </c>
      <c r="B11" s="16">
        <f>IF(B10="該当",ROUNDDOWN(IF(B7&lt;=8000000,B7/400000,(B7-8000000)/700000+20),0),B8)</f>
        <v>2</v>
      </c>
      <c r="C11" s="16" t="s">
        <v>62</v>
      </c>
      <c r="D11" s="13" t="s">
        <v>60</v>
      </c>
      <c r="E11" s="13" t="s">
        <v>63</v>
      </c>
      <c r="F11" s="13"/>
    </row>
    <row r="12" spans="1:6" ht="37.5" customHeight="1" x14ac:dyDescent="0.4">
      <c r="A12" s="13" t="s">
        <v>24</v>
      </c>
      <c r="B12" s="16">
        <f>IF(ISNUMBER(SEARCH("→ 会社退職金",入力!B18)),入力!B15,IF(ISNUMBER(SEARCH("会社退職金 →",入力!B18)),入力!B16,""))</f>
        <v>19</v>
      </c>
      <c r="C12" s="16" t="s">
        <v>223</v>
      </c>
      <c r="D12" s="13" t="s">
        <v>64</v>
      </c>
      <c r="E12" s="13"/>
      <c r="F12" s="13"/>
    </row>
    <row r="13" spans="1:6" ht="18.75" customHeight="1" x14ac:dyDescent="0.4">
      <c r="A13" s="13" t="s">
        <v>65</v>
      </c>
      <c r="B13" s="16" t="str">
        <f>IF(OR(B5="",B6="",B12=""),"",IF(YEARFRAC(B5,B6,1)&lt;=B12,"対象","対象外"))</f>
        <v>対象</v>
      </c>
      <c r="C13" s="16" t="s">
        <v>66</v>
      </c>
      <c r="D13" s="13" t="s">
        <v>67</v>
      </c>
      <c r="E13" s="13"/>
      <c r="F13" s="13" t="s">
        <v>63</v>
      </c>
    </row>
    <row r="14" spans="1:6" ht="18.75" customHeight="1" x14ac:dyDescent="0.4">
      <c r="A14" s="13" t="s">
        <v>68</v>
      </c>
      <c r="B14" s="16" t="str">
        <f>IF(B13="対象","要計算（開始日・終了日で算定）",IF(B13="対象外",0,"要確認"))</f>
        <v>要計算（開始日・終了日で算定）</v>
      </c>
      <c r="C14" s="16" t="s">
        <v>69</v>
      </c>
      <c r="D14" s="13" t="s">
        <v>60</v>
      </c>
      <c r="E14" s="13" t="s">
        <v>70</v>
      </c>
      <c r="F14" s="13" t="s">
        <v>63</v>
      </c>
    </row>
    <row r="15" spans="1:6" ht="18.75" customHeight="1" x14ac:dyDescent="0.4">
      <c r="A15" s="13" t="s">
        <v>71</v>
      </c>
      <c r="B15" s="16" t="str">
        <f>IF(B14=0,IF(B4="企業型DC",入力!B23,入力!B21),"要計算")</f>
        <v>要計算</v>
      </c>
      <c r="C15" s="16" t="s">
        <v>72</v>
      </c>
      <c r="D15" s="13" t="s">
        <v>73</v>
      </c>
      <c r="E15" s="13" t="s">
        <v>63</v>
      </c>
      <c r="F15" s="13" t="s">
        <v>63</v>
      </c>
    </row>
    <row r="16" spans="1:6" ht="18.75" customHeight="1" x14ac:dyDescent="0.4">
      <c r="A16" s="10" t="s">
        <v>74</v>
      </c>
      <c r="B16" s="10" t="s">
        <v>75</v>
      </c>
      <c r="C16" s="10" t="s">
        <v>76</v>
      </c>
    </row>
    <row r="17" spans="1:6" ht="18.75" customHeight="1" x14ac:dyDescent="0.4">
      <c r="A17" s="10" t="s">
        <v>25</v>
      </c>
      <c r="B17" s="10" t="s">
        <v>77</v>
      </c>
    </row>
    <row r="18" spans="1:6" ht="18.75" customHeight="1" x14ac:dyDescent="0.4"/>
    <row r="19" spans="1:6" ht="18.75" customHeight="1" x14ac:dyDescent="0.4">
      <c r="A19" s="12" t="s">
        <v>78</v>
      </c>
      <c r="B19" s="98" t="s">
        <v>79</v>
      </c>
      <c r="C19" s="96"/>
      <c r="D19" s="96"/>
      <c r="E19" s="96"/>
      <c r="F19" s="96"/>
    </row>
    <row r="20" spans="1:6" ht="18.75" customHeight="1" x14ac:dyDescent="0.4">
      <c r="B20" s="96"/>
      <c r="C20" s="96"/>
      <c r="D20" s="96"/>
      <c r="E20" s="96"/>
      <c r="F20" s="96"/>
    </row>
    <row r="21" spans="1:6" ht="18.75" customHeight="1" x14ac:dyDescent="0.4">
      <c r="B21" s="96"/>
      <c r="C21" s="96"/>
      <c r="D21" s="96"/>
      <c r="E21" s="96"/>
      <c r="F21" s="96"/>
    </row>
    <row r="22" spans="1:6" ht="18.75" customHeight="1" x14ac:dyDescent="0.4"/>
    <row r="23" spans="1:6" ht="18.75" customHeight="1" x14ac:dyDescent="0.4">
      <c r="A23" s="95" t="s">
        <v>80</v>
      </c>
      <c r="B23" s="96"/>
      <c r="C23" s="96"/>
      <c r="D23" s="96"/>
    </row>
    <row r="24" spans="1:6" ht="18.75" customHeight="1" x14ac:dyDescent="0.4">
      <c r="A24" s="13" t="s">
        <v>81</v>
      </c>
      <c r="B24" s="98" t="s">
        <v>224</v>
      </c>
      <c r="C24" s="96"/>
      <c r="D24" s="96"/>
    </row>
    <row r="25" spans="1:6" ht="18.75" customHeight="1" x14ac:dyDescent="0.4">
      <c r="A25" s="13" t="s">
        <v>82</v>
      </c>
      <c r="B25" s="98" t="s">
        <v>83</v>
      </c>
      <c r="C25" s="96"/>
      <c r="D25" s="96"/>
    </row>
    <row r="26" spans="1:6" ht="18.75" customHeight="1" x14ac:dyDescent="0.4">
      <c r="A26" s="13" t="s">
        <v>26</v>
      </c>
      <c r="B26" s="98" t="s">
        <v>84</v>
      </c>
      <c r="C26" s="96"/>
      <c r="D26" s="96"/>
    </row>
    <row r="27" spans="1:6" ht="18.75" customHeight="1" x14ac:dyDescent="0.4"/>
  </sheetData>
  <sheetProtection algorithmName="SHA-512" hashValue="kU4JOACS7Y3snHZ24/jj0LHhgUwg7xncxnwlDuGM1kNo48B59v7PE5ExkbivON7oeLgPf53g5D23s7Yr/U2LKQ==" saltValue="t1IHPnrwDjMu6919k/85Ig==" spinCount="100000" sheet="1" selectLockedCells="1"/>
  <mergeCells count="6">
    <mergeCell ref="A23:D23"/>
    <mergeCell ref="A1:F1"/>
    <mergeCell ref="B26:D26"/>
    <mergeCell ref="B19:F21"/>
    <mergeCell ref="B25:D25"/>
    <mergeCell ref="B24:D24"/>
  </mergeCells>
  <phoneticPr fontId="1"/>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Q25"/>
  <sheetViews>
    <sheetView showGridLines="0" zoomScale="85" zoomScaleNormal="85" workbookViewId="0">
      <pane ySplit="3" topLeftCell="A4" activePane="bottomLeft" state="frozen"/>
      <selection pane="bottomLeft" activeCell="B4" sqref="B4"/>
    </sheetView>
  </sheetViews>
  <sheetFormatPr defaultRowHeight="18.75" x14ac:dyDescent="0.4"/>
  <cols>
    <col min="1" max="1" width="9" style="10" customWidth="1"/>
    <col min="2" max="2" width="13" style="10" customWidth="1"/>
    <col min="3" max="3" width="15" style="10" customWidth="1"/>
    <col min="4" max="4" width="14" style="10" customWidth="1"/>
    <col min="5" max="5" width="16" style="10" customWidth="1"/>
    <col min="6" max="6" width="20" style="10" customWidth="1"/>
    <col min="7" max="7" width="16.875" style="10" customWidth="1"/>
    <col min="8" max="8" width="18" style="10" customWidth="1"/>
    <col min="9" max="10" width="16" style="10" customWidth="1"/>
    <col min="11" max="12" width="11" style="10" customWidth="1"/>
    <col min="13" max="14" width="15" style="10" customWidth="1"/>
    <col min="15" max="15" width="12" style="10" customWidth="1"/>
    <col min="16" max="19" width="16" style="10" customWidth="1"/>
    <col min="20" max="20" width="14" style="10" customWidth="1"/>
    <col min="21" max="21" width="16" style="10" customWidth="1"/>
    <col min="22" max="22" width="12" style="10" customWidth="1"/>
    <col min="23" max="23" width="16" style="10" customWidth="1"/>
    <col min="24" max="26" width="14" style="10" customWidth="1"/>
    <col min="27" max="28" width="16" style="10" customWidth="1"/>
    <col min="29" max="29" width="20" style="10" customWidth="1"/>
    <col min="30" max="30" width="12" style="10" customWidth="1"/>
    <col min="31" max="35" width="14" style="10" customWidth="1"/>
    <col min="36" max="36" width="16" style="10" customWidth="1"/>
    <col min="37" max="38" width="14" style="10" customWidth="1"/>
    <col min="39" max="39" width="18" style="10" customWidth="1"/>
    <col min="40" max="40" width="16" style="11" customWidth="1"/>
    <col min="41" max="41" width="11.75" style="11" bestFit="1" customWidth="1"/>
    <col min="42" max="42" width="11.125" style="11" customWidth="1"/>
    <col min="43" max="43" width="12.75" style="11" customWidth="1"/>
    <col min="44" max="16384" width="9" style="11"/>
  </cols>
  <sheetData>
    <row r="1" spans="1:43" ht="24" x14ac:dyDescent="0.5">
      <c r="A1" s="99" t="s">
        <v>85</v>
      </c>
      <c r="B1" s="99"/>
      <c r="C1" s="99"/>
      <c r="D1" s="99"/>
      <c r="E1" s="99"/>
      <c r="F1" s="99"/>
      <c r="G1" s="99"/>
      <c r="H1" s="99"/>
      <c r="I1" s="99"/>
      <c r="J1" s="99"/>
    </row>
    <row r="2" spans="1:43" x14ac:dyDescent="0.4">
      <c r="A2" s="11" t="s">
        <v>86</v>
      </c>
      <c r="B2" s="11"/>
      <c r="C2" s="11" t="s">
        <v>278</v>
      </c>
      <c r="AN2" s="10"/>
    </row>
    <row r="3" spans="1:43" ht="60" customHeight="1" x14ac:dyDescent="0.4">
      <c r="A3" s="22" t="s">
        <v>87</v>
      </c>
      <c r="B3" s="22" t="s">
        <v>198</v>
      </c>
      <c r="C3" s="22" t="s">
        <v>88</v>
      </c>
      <c r="D3" s="22" t="s">
        <v>89</v>
      </c>
      <c r="E3" s="22" t="s">
        <v>90</v>
      </c>
      <c r="F3" s="22" t="s">
        <v>8</v>
      </c>
      <c r="G3" s="22" t="s">
        <v>14</v>
      </c>
      <c r="H3" s="22" t="s">
        <v>91</v>
      </c>
      <c r="I3" s="22" t="s">
        <v>92</v>
      </c>
      <c r="J3" s="22" t="s">
        <v>93</v>
      </c>
      <c r="K3" s="22" t="s">
        <v>199</v>
      </c>
      <c r="L3" s="23" t="s">
        <v>204</v>
      </c>
      <c r="M3" s="23" t="s">
        <v>200</v>
      </c>
      <c r="N3" s="23" t="s">
        <v>94</v>
      </c>
      <c r="O3" s="23" t="s">
        <v>95</v>
      </c>
      <c r="P3" s="23" t="s">
        <v>96</v>
      </c>
      <c r="Q3" s="23" t="s">
        <v>97</v>
      </c>
      <c r="R3" s="23" t="s">
        <v>203</v>
      </c>
      <c r="S3" s="23" t="s">
        <v>98</v>
      </c>
      <c r="T3" s="23" t="s">
        <v>99</v>
      </c>
      <c r="U3" s="23" t="s">
        <v>100</v>
      </c>
      <c r="V3" s="23" t="s">
        <v>205</v>
      </c>
      <c r="W3" s="23" t="s">
        <v>101</v>
      </c>
      <c r="X3" s="23" t="s">
        <v>102</v>
      </c>
      <c r="Y3" s="23" t="s">
        <v>206</v>
      </c>
      <c r="Z3" s="23" t="s">
        <v>103</v>
      </c>
      <c r="AA3" s="23" t="s">
        <v>104</v>
      </c>
      <c r="AB3" s="23" t="s">
        <v>105</v>
      </c>
      <c r="AC3" s="23" t="s">
        <v>106</v>
      </c>
      <c r="AD3" s="23" t="s">
        <v>107</v>
      </c>
      <c r="AE3" s="23" t="s">
        <v>108</v>
      </c>
      <c r="AF3" s="23" t="s">
        <v>109</v>
      </c>
      <c r="AG3" s="23" t="s">
        <v>110</v>
      </c>
      <c r="AH3" s="23" t="s">
        <v>197</v>
      </c>
      <c r="AI3" s="23" t="s">
        <v>120</v>
      </c>
      <c r="AJ3" s="23" t="s">
        <v>122</v>
      </c>
      <c r="AK3" s="23" t="s">
        <v>111</v>
      </c>
      <c r="AL3" s="23" t="s">
        <v>137</v>
      </c>
      <c r="AM3" s="23" t="s">
        <v>112</v>
      </c>
      <c r="AN3" s="23" t="s">
        <v>113</v>
      </c>
      <c r="AO3" s="23" t="s">
        <v>106</v>
      </c>
      <c r="AP3" s="23" t="s">
        <v>114</v>
      </c>
      <c r="AQ3" s="23" t="s">
        <v>202</v>
      </c>
    </row>
    <row r="4" spans="1:43" ht="18.75" customHeight="1" x14ac:dyDescent="0.4">
      <c r="A4" s="24">
        <v>1</v>
      </c>
      <c r="B4" s="5">
        <v>47664</v>
      </c>
      <c r="C4" s="5">
        <v>47664</v>
      </c>
      <c r="D4" s="25">
        <f>入力!$B$9</f>
        <v>47634</v>
      </c>
      <c r="E4" s="26">
        <f>入力!$B$14</f>
        <v>25000000</v>
      </c>
      <c r="F4" s="26">
        <f>入力!$B$10</f>
        <v>1000000</v>
      </c>
      <c r="G4" s="27" t="str">
        <f>IF(OR(C4="",D4=""),"",IF(YEAR(C4)=YEAR(D4),"同年受取",IF(C4&lt;D4,入力!$B$6&amp;" → 会社退職金","会社退職金 → "&amp;入力!$B$6)))</f>
        <v>同年受取</v>
      </c>
      <c r="H4" s="27" t="str">
        <f>IF(
  OR(G4="同年受取",G4=""),
  "",
  IF(
    入力!$B$6="DB",
    入力!$B$15,
    IF(
      G4="DC → 会社退職金",
      入力!$B$15,
      入力!$B$16
    )
  )
)</f>
        <v/>
      </c>
      <c r="I4" s="27" t="str">
        <f t="shared" ref="I4:I13" si="0">IF(G4="同年受取","同年合算",IF(G4="","",IF(AND(MIN(C4,D4)&lt;DATE(YEAR(MAX(C4,D4)),1,1),MIN(C4,D4)&gt;=DATE(YEAR(MAX(C4,D4))-H4,1,1)),"対象","対象外")))</f>
        <v>同年合算</v>
      </c>
      <c r="J4" s="26" t="str">
        <f t="shared" ref="J4:J13" si="1">IF(G4="同年受取","",IF(ISNUMBER(SEARCH(" → 会社退職金",G4)),E4,IF(ISNUMBER(SEARCH("会社退職金 → ",G4)),F4,"")))</f>
        <v/>
      </c>
      <c r="K4" s="26" t="str">
        <f>IF(G4="同年受取","",
 IF(ISNUMBER(SEARCH(" → 会社退職金",G4)),
   _xlfn.LET(
     _xlpm.DC開始,入力!$B$11,
     _xlpm.DC終了,B4,
     _xlpm.年数,IF(DATEDIF(_xlpm.DC開始,_xlpm.DC終了+1,"M")=0,1,CEILING(DATEDIF(_xlpm.DC開始,_xlpm.DC終了+1,"M")/12,1)),
     IF(_xlpm.年数&lt;=20,MAX(400000*_xlpm.年数,800000),8000000+700000*(_xlpm.年数-20))
   ),
 IF(ISNUMBER(SEARCH("会社退職金 → ",G4)),
   _xlfn.LET(
     _xlpm.会社控除額,入力!$B$21,
     _xlpm.会社控除額
   ),
 "")))</f>
        <v/>
      </c>
      <c r="L4" s="28" t="str">
        <f t="shared" ref="L4:L13" si="2">IF(OR(J4="",K4=""),"",IF(J4&lt;K4,"該当","非該当"))</f>
        <v/>
      </c>
      <c r="M4" s="29" t="str">
        <f>_xlfn.LET(
 _xlpm.前退,J4,
 _xlpm.前控,K4,
 _xlpm.会勤年,入力!$B$20,
 IF(G4="同年受取","",
   IF(OR(_xlpm.前退="",_xlpm.前控=""),"",
     IF(_xlpm.前退&lt;_xlpm.前控,
       ROUNDDOWN(IF(_xlpm.前退&lt;=8000000,_xlpm.前退/400000,(_xlpm.前退-8000000)/700000+20),0),
       IF(G4="DC → 会社退職金",
         _xlfn.LET(
           _xlpm.DC開始,入力!$B$11,
           _xlpm.DC終了,B4,
           DATEDIF(_xlpm.DC開始,_xlpm.DC終了+1,"Y")
           +IF(DATEDIF(_xlpm.DC開始,_xlpm.DC終了+1,"YD")&gt;0,1,0)
         ),
         IF(G4="会社退職金 → DC",
           _xlpm.会勤年,
           ""
         )
       )
     )
   )
 )
)</f>
        <v/>
      </c>
      <c r="N4" s="30" t="str">
        <f>IF(G4="同年受取","",IF(I4&lt;&gt;"対象","",MAX(IF(G4="DC → 会社退職金",入力!$B$11,入力!$B$7),IF(G4="DC → 会社退職金",入力!$B$7,入力!$B$11))))</f>
        <v/>
      </c>
      <c r="O4" s="30" t="str">
        <f>_xlfn.LET(
  _xlpm.受取順,G4,
  _xlpm.対象,I4,
  _xlpm.前退,J4,
  _xlpm.前控,K4,
  _xlpm.前換算年,M4,
  _xlpm.会社開始,入力!$B$7,
  _xlpm.会社終了,入力!$B$8,
  _xlpm.DC開始,入力!$B$11,
  _xlpm.DC終了,B4,
  _xlpm.重複終了上限,IF(
    _xlpm.受取順="DC → 会社退職金",
    _xlpm.DC終了,
    _xlpm.会社終了
  ),
  _xlpm.換算期間終了,IF(
    _xlpm.前退&lt;_xlpm.前控,
    EDATE(
      IF(
        _xlpm.受取順="DC → 会社退職金",
        _xlpm.DC開始,
        _xlpm.会社開始
      ),
      _xlpm.前換算年*12
    )-1,
    _xlpm.重複終了上限
  ),
  IF(
    _xlpm.受取順="同年受取",
    "",
    IF(
      _xlpm.対象&lt;&gt;"対象",
      "",
      MIN(
        _xlpm.重複終了上限,
        _xlpm.換算期間終了
      )
    )
  )
)</f>
        <v/>
      </c>
      <c r="P4" s="29" t="str">
        <f t="shared" ref="P4:P13" si="3">_xlfn.LET(
  _xlpm.重複開始,N4,
  _xlpm.重複終了,O4,
  IF(
    G4="同年受取",
    "",
    IF(
      OR(_xlpm.重複開始="",_xlpm.重複終了="",_xlpm.重複開始&gt;_xlpm.重複終了),
      0,
      DATEDIF(_xlpm.重複開始,_xlpm.重複終了+1,"Y")
    )
  )
)</f>
        <v/>
      </c>
      <c r="Q4" s="28" t="str">
        <f>IF(G4="同年受取","",
_xlfn.LET(
_xlpm.受取順,G4,
_xlpm.実重複年,P4,
_xlpm.会社本来控除,入力!$B$21,
_xlpm.重複控除,IF(
_xlpm.実重複年&lt;=20,
MAX(800000,400000*_xlpm.実重複年),
8000000+700000*(_xlpm.実重複年-20)
),
IF(
_xlpm.受取順="DC → 会社退職金",
IF(
I4="対象",
MAX(0,_xlpm.会社本来控除-_xlpm.重複控除),
_xlpm.会社本来控除
),
_xlpm.会社本来控除
)
))</f>
        <v/>
      </c>
      <c r="R4" s="28" t="str">
        <f>IF(G4="同年受取","",
 _xlfn.LET(
  _xlpm.受取順,G4,
  _xlpm.DC開始,入力!$B$11,
  _xlpm.DC終了,B4,
  _xlpm.実重複年,P4,
  _xlpm.DC年数,IF(
   DATEDIF(_xlpm.DC開始,_xlpm.DC終了+1,"M")=0,
   1,
   CEILING(DATEDIF(_xlpm.DC開始,_xlpm.DC終了+1,"M")/12,1)
  ),
  _xlpm.DC本来控除,IF(
   _xlpm.DC年数&lt;=20,
   400000*_xlpm.DC年数,
   8000000+700000*(_xlpm.DC年数-20)
  ),
  _xlpm.重複控除,IF(
   _xlpm.実重複年=0,
   0,
   IF(
    _xlpm.実重複年&lt;=20,
    400000*_xlpm.実重複年,
    8000000+700000*(_xlpm.実重複年-20)
   )
  ),
  IF(
   _xlpm.受取順="会社退職金 → DC",
   IF(
    I4="対象",
    MAX(0,_xlpm.DC本来控除-_xlpm.重複控除),
    _xlpm.DC本来控除
   ),
   _xlpm.DC本来控除
  )
 )
)</f>
        <v/>
      </c>
      <c r="S4" s="28" t="str">
        <f t="shared" ref="S4:S13" si="4">IF(G4="同年受取","",IF(OR(G4="",G4="同日受取：要確認"),"",ROUNDDOWN(MAX(0,(F4-Q4)/2),-3)))</f>
        <v/>
      </c>
      <c r="T4" s="28" t="str">
        <f t="shared" ref="T4:T13" si="5">IF(G4="同年受取","",IF(OR(G4="",G4="同日受取：要確認"),"",ROUNDDOWN(MAX(0,(E4-R4)/2),-3)))</f>
        <v/>
      </c>
      <c r="U4" s="31" t="str">
        <f>IF(OR(G4="同年受取",S4=""),"",VLOOKUP(S4,税率表!$A$2:$C$8,2,TRUE))</f>
        <v/>
      </c>
      <c r="V4" s="28" t="str">
        <f>IF(U4="","",VLOOKUP(S4,税率表!$A$2:$C$8,3,TRUE))</f>
        <v/>
      </c>
      <c r="W4" s="28" t="str">
        <f t="shared" ref="W4:W13" si="6">IF(U4="","",ROUNDDOWN(MAX(0,S4*U4-V4)*1.021,0))</f>
        <v/>
      </c>
      <c r="X4" s="31" t="str">
        <f>IF(OR(G4="同年受取",T4=""),"",VLOOKUP(T4,税率表!$A$2:$C$8,2,TRUE))</f>
        <v/>
      </c>
      <c r="Y4" s="28" t="str">
        <f>IF(X4="","",VLOOKUP(T4,税率表!$A$2:$C$8,3,TRUE))</f>
        <v/>
      </c>
      <c r="Z4" s="28" t="str">
        <f t="shared" ref="Z4:Z13" si="7">IF(X4="","",ROUNDDOWN(MAX(0,T4*X4-Y4)*1.021,0))</f>
        <v/>
      </c>
      <c r="AA4" s="28" t="str">
        <f t="shared" ref="AA4:AA13" si="8">IF(G4="同年受取","",IF(S4="","",ROUNDDOWN(S4*10%,0)))</f>
        <v/>
      </c>
      <c r="AB4" s="28" t="str">
        <f t="shared" ref="AB4:AB13" si="9">IF(G4="同年受取","",IF(T4="","",ROUNDDOWN(T4*10%,0)))</f>
        <v/>
      </c>
      <c r="AC4" s="28" t="str">
        <f t="shared" ref="AC4:AC13" si="10">IF(G4="同年受取","",IF(OR(W4="",Z4=""),"",SUM(W4,Z4,AA4,AB4)))</f>
        <v/>
      </c>
      <c r="AD4" s="28" t="str">
        <f t="shared" ref="AD4:AD13" si="11">IF(G4="同年受取","",IF(AC4="","",E4+F4-AC4))</f>
        <v/>
      </c>
      <c r="AE4" s="32" t="str">
        <f t="shared" ref="AE4:AE13" si="12">IF(G4="同年受取","No.2735：同年の退職手当等を合算し、2制度の勤続期間を統合して退職所得控除額を計算",IF(I4="対象","No.2732：確認期間→前の金額/控除→換算年数→重複年度→後の控除調整→課税退職所得→税額",IF(G4="","",IF(I4="対象外","No.2732：確認期間外→重複調整なし→通常控除→課税退職所得→税額",""))))</f>
        <v>No.2735：同年の退職手当等を合算し、2制度の勤続期間を統合して退職所得控除額を計算</v>
      </c>
      <c r="AF4" s="32" t="str">
        <f t="shared" ref="AF4:AF13" si="13">IF(OR(J4="",K4="",G4="同年受取"),"",ROUNDDOWN(IF(J4&lt;=8000000,J4/400000,(J4-8000000)/700000+20),0))</f>
        <v/>
      </c>
      <c r="AG4" s="32" t="str">
        <f>IF(OR(J4="",K4="",G4="同年受取"),"",IF(J4&lt;K4,AF4,IF(G4="DC → 会社退職金",入力!$B$22,入力!$B$20)))</f>
        <v/>
      </c>
      <c r="AH4" s="33">
        <f>IF(G4&lt;&gt;"同年受取","",_xlfn.LET(
_xlpm.A開始,入力!$B$7,
_xlpm.A終了,入力!$B$8,
_xlpm.B開始,入力!$B$11,
_xlpm.B終了,B4,
_xlpm.A日数,_xlpm.A終了-_xlpm.A開始+1,
_xlpm.B日数,_xlpm.B終了-_xlpm.B開始+1,
IF(
OR(_xlpm.A終了&lt;_xlpm.B開始,_xlpm.B終了&lt;_xlpm.A開始),
IF(_xlpm.A日数&gt;=_xlpm.B日数,
DATEDIF(_xlpm.A開始,_xlpm.A終了+1,"Y")+IF(DATEDIF(_xlpm.A開始,_xlpm.A終了+1,"YD")&gt;0,1,0),
DATEDIF(_xlpm.B開始,_xlpm.B終了+1,"Y")+IF(DATEDIF(_xlpm.B開始,_xlpm.B終了+1,"YD")&gt;0,1,0)
),
DATEDIF(MIN(_xlpm.A開始,_xlpm.B開始),MAX(_xlpm.A終了,_xlpm.B終了)+1,"Y")
+IF(DATEDIF(MIN(_xlpm.A開始,_xlpm.B開始),MAX(_xlpm.A終了,_xlpm.B終了)+1,"YD")&gt;0,1,0)
)
))</f>
        <v>40</v>
      </c>
      <c r="AI4" s="34">
        <f t="shared" ref="AI4:AI13" si="14">IF(G4&lt;&gt;"同年受取","",IF(AH4&lt;=20,MAX(400000*AH4,800000),8000000+700000*(AH4-20)))</f>
        <v>22000000</v>
      </c>
      <c r="AJ4" s="34">
        <f t="shared" ref="AJ4:AJ13" si="15">IF(G4&lt;&gt;"同年受取","",MAX(0,FLOOR((E4+F4-AI4)/2,1000)))</f>
        <v>2000000</v>
      </c>
      <c r="AK4" s="35">
        <f t="shared" ref="AK4:AK13" si="16">IF(G4&lt;&gt;"同年受取","",VLOOKUP(AJ4,tabletax,3,TRUE))</f>
        <v>0.1</v>
      </c>
      <c r="AL4" s="34">
        <f t="shared" ref="AL4:AL13" si="17">IF(G4&lt;&gt;"同年受取","",VLOOKUP(AJ4,tabletax,4,TRUE))</f>
        <v>97500</v>
      </c>
      <c r="AM4" s="34">
        <f t="shared" ref="AM4:AM13" si="18">IF(G4&lt;&gt;"同年受取","",FLOOR((AJ4*AK4-AL4)*1.021,1))</f>
        <v>104652</v>
      </c>
      <c r="AN4" s="34">
        <f t="shared" ref="AN4:AN13" si="19">IF(G4&lt;&gt;"同年受取","",FLOOR(AJ4*0.1,100))</f>
        <v>200000</v>
      </c>
      <c r="AO4" s="34">
        <f t="shared" ref="AO4:AO13" si="20">IF(G4&lt;&gt;"同年受取","",AM4+AN4)</f>
        <v>304652</v>
      </c>
      <c r="AP4" s="34">
        <f t="shared" ref="AP4:AP13" si="21">IF(G4&lt;&gt;"同年受取","",IF(AM4="","",E4+F4-AO4))</f>
        <v>25695348</v>
      </c>
      <c r="AQ4" s="34">
        <f t="shared" ref="AQ4:AQ13" si="22">IF(AD4&lt;&gt;"",AD4,IF(AP4&lt;&gt;"",AP4))</f>
        <v>25695348</v>
      </c>
    </row>
    <row r="5" spans="1:43" ht="18.75" customHeight="1" x14ac:dyDescent="0.4">
      <c r="A5" s="24">
        <v>2</v>
      </c>
      <c r="B5" s="5">
        <v>48029</v>
      </c>
      <c r="C5" s="5">
        <v>48029</v>
      </c>
      <c r="D5" s="25">
        <f>入力!$B$9</f>
        <v>47634</v>
      </c>
      <c r="E5" s="26">
        <f>入力!$B$14</f>
        <v>25000000</v>
      </c>
      <c r="F5" s="26">
        <f>入力!$B$10</f>
        <v>1000000</v>
      </c>
      <c r="G5" s="27" t="str">
        <f>IF(OR(C5="",D5=""),"",IF(YEAR(C5)=YEAR(D5),"同年受取",IF(C5&lt;D5,入力!$B$6&amp;" → 会社退職金","会社退職金 → "&amp;入力!$B$6)))</f>
        <v>会社退職金 → DC</v>
      </c>
      <c r="H5" s="27">
        <f>IF(
  OR(G5="同年受取",G5=""),
  "",
  IF(
    入力!$B$6="DB",
    入力!$B$15,
    IF(
      G5="DC → 会社退職金",
      入力!$B$15,
      入力!$B$16
    )
  )
)</f>
        <v>19</v>
      </c>
      <c r="I5" s="27" t="str">
        <f t="shared" si="0"/>
        <v>対象</v>
      </c>
      <c r="J5" s="26">
        <f t="shared" si="1"/>
        <v>1000000</v>
      </c>
      <c r="K5" s="26">
        <f>IF(G5="同年受取","",
 IF(ISNUMBER(SEARCH(" → 会社退職金",G5)),
   _xlfn.LET(
     _xlpm.DC開始,入力!$B$11,
     _xlpm.DC終了,B5,
     _xlpm.年数,IF(DATEDIF(_xlpm.DC開始,_xlpm.DC終了+1,"M")=0,1,CEILING(DATEDIF(_xlpm.DC開始,_xlpm.DC終了+1,"M")/12,1)),
     IF(_xlpm.年数&lt;=20,MAX(400000*_xlpm.年数,800000),8000000+700000*(_xlpm.年数-20))
   ),
 IF(ISNUMBER(SEARCH("会社退職金 → ",G5)),
   _xlfn.LET(
     _xlpm.会社控除額,入力!$B$21,
     _xlpm.会社控除額
   ),
 "")))</f>
        <v>22000000</v>
      </c>
      <c r="L5" s="28" t="str">
        <f t="shared" si="2"/>
        <v>該当</v>
      </c>
      <c r="M5" s="29">
        <f>_xlfn.LET(
 _xlpm.前判定,L5,
 _xlpm.前退,J5,
 _xlpm.前控,K5,
 _xlpm.会勤年,入力!$B$20,
 IF(G5="同年受取","",
   IF(OR(_xlpm.前退="",_xlpm.前控=""),"",
     IF(_xlpm.前判定="該当",
       ROUNDDOWN(IF(_xlpm.前退&lt;=8000000,_xlpm.前退/400000,(_xlpm.前退-8000000)/700000+20),0),
       IF(ISNUMBER(SEARCH(" → 会社退職金",G5)),
         _xlfn.LET(
           _xlpm.DC開始,入力!$B$11,
           _xlpm.DC終了,B5,
           DATEDIF(_xlpm.DC開始,_xlpm.DC終了+1,"Y")
           +IF(DATEDIF(_xlpm.DC開始,_xlpm.DC終了+1,"YD")&gt;0,1,0)
         ),
         IF(ISNUMBER(SEARCH("会社退職金 → ",G5)),
           _xlpm.会勤年,
           ""
         )
       )
     )
   )
 )
)</f>
        <v>2</v>
      </c>
      <c r="N5" s="30">
        <f>IF(G5="同年受取","",IF(I5&lt;&gt;"対象","",MAX(IF(ISNUMBER(SEARCH(" → 会社退職金",G5)),入力!$B$11,入力!$B$7),IF(ISNUMBER(SEARCH(" → 会社退職金",G5)),入力!$B$7,入力!$B$11))))</f>
        <v>36982</v>
      </c>
      <c r="O5" s="30">
        <f>_xlfn.LET(
  _xlpm.受取順,G5,
  _xlpm.対象,I5,
  _xlpm.前退,J5,
  _xlpm.前控,K5,
  _xlpm.前換算年,M5,
  _xlpm.会社開始,入力!$B$7,
  _xlpm.会社終了,入力!$B$8,
  _xlpm.DC開始,入力!$B$11,
  _xlpm.DC終了,B5,
  _xlpm.重複終了上限,IF(
    ISNUMBER(SEARCH(" → 会社退職金",_xlpm.受取順)),
    _xlpm.DC終了,
    _xlpm.会社終了
  ),
  _xlpm.換算期間終了,IF(
    _xlpm.前退&lt;_xlpm.前控,
    EDATE(
      IF(
        ISNUMBER(SEARCH(" → 会社退職金",_xlpm.受取順)),
        _xlpm.DC開始,
        _xlpm.会社開始
      ),
      _xlpm.前換算年*12
    )-1,
    _xlpm.重複終了上限
  ),
  IF(
    _xlpm.受取順="同年受取",
    "",
    IF(
      _xlpm.対象&lt;&gt;"対象",
      "",
      MIN(
        _xlpm.重複終了上限,
        _xlpm.換算期間終了
      )
    )
  )
)</f>
        <v>34059</v>
      </c>
      <c r="P5" s="29">
        <f t="shared" si="3"/>
        <v>0</v>
      </c>
      <c r="Q5" s="28">
        <f>IF(G5="同年受取","",
_xlfn.LET(
_xlpm.受取順,G5,
_xlpm.実重複年,P5,
_xlpm.会社本来控除,入力!$B$21,
_xlpm.重複控除,IF(
_xlpm.実重複年&lt;=20,
MAX(800000,400000*_xlpm.実重複年),
8000000+700000*(_xlpm.実重複年-20)
),
IF(
ISNUMBER(SEARCH(" → 会社退職金",_xlpm.受取順)),
IF(
I5="対象",
MAX(0,_xlpm.会社本来控除-_xlpm.重複控除),
_xlpm.会社本来控除
),
_xlpm.会社本来控除
)
))</f>
        <v>22000000</v>
      </c>
      <c r="R5" s="28">
        <f>IF(G5="同年受取","",
 _xlfn.LET(
  _xlpm.受取順,G5,
  _xlpm.DC開始,入力!$B$11,
  _xlpm.DC終了,B5,
  _xlpm.実重複年,P5,
  _xlpm.DC年数,IF(
   DATEDIF(_xlpm.DC開始,_xlpm.DC終了+1,"M")=0,
   1,
   CEILING(DATEDIF(_xlpm.DC開始,_xlpm.DC終了+1,"M")/12,1)
  ),
  _xlpm.DC本来控除,IF(
   _xlpm.DC年数&lt;=20,
   400000*_xlpm.DC年数,
   8000000+700000*(_xlpm.DC年数-20)
  ),
  _xlpm.重複控除,IF(
   _xlpm.実重複年=0,
   0,
   IF(
    _xlpm.実重複年&lt;=20,
    400000*_xlpm.実重複年,
    8000000+700000*(_xlpm.実重複年-20)
   )
  ),
  IF(
   _xlpm.受取順="会社退職金 → DC",
   IF(
    I5="対象",
    MAX(0,_xlpm.DC本来控除-_xlpm.重複控除),
    _xlpm.DC本来控除
   ),
   _xlpm.DC本来控除
  )
 )
)</f>
        <v>15700000</v>
      </c>
      <c r="S5" s="28">
        <f t="shared" si="4"/>
        <v>0</v>
      </c>
      <c r="T5" s="28">
        <f t="shared" si="5"/>
        <v>4650000</v>
      </c>
      <c r="U5" s="31">
        <f>IF(OR(G5="同年受取",S5=""),"",VLOOKUP(S5,税率表!$A$2:$C$8,2,TRUE))</f>
        <v>0.05</v>
      </c>
      <c r="V5" s="28">
        <f>IF(U5="","",VLOOKUP(S5,税率表!$A$2:$C$8,3,TRUE))</f>
        <v>0</v>
      </c>
      <c r="W5" s="28">
        <f t="shared" si="6"/>
        <v>0</v>
      </c>
      <c r="X5" s="31">
        <f>IF(OR(G5="同年受取",T5=""),"",VLOOKUP(T5,税率表!$A$2:$C$8,2,TRUE))</f>
        <v>0.2</v>
      </c>
      <c r="Y5" s="28">
        <f>IF(X5="","",VLOOKUP(T5,税率表!$A$2:$C$8,3,TRUE))</f>
        <v>427500</v>
      </c>
      <c r="Z5" s="28">
        <f t="shared" si="7"/>
        <v>513052</v>
      </c>
      <c r="AA5" s="28">
        <f t="shared" si="8"/>
        <v>0</v>
      </c>
      <c r="AB5" s="28">
        <f t="shared" si="9"/>
        <v>465000</v>
      </c>
      <c r="AC5" s="28">
        <f t="shared" si="10"/>
        <v>978052</v>
      </c>
      <c r="AD5" s="28">
        <f t="shared" si="11"/>
        <v>25021948</v>
      </c>
      <c r="AE5" s="32" t="str">
        <f t="shared" si="12"/>
        <v>No.2732：確認期間→前の金額/控除→換算年数→重複年度→後の控除調整→課税退職所得→税額</v>
      </c>
      <c r="AF5" s="32">
        <f t="shared" si="13"/>
        <v>2</v>
      </c>
      <c r="AG5" s="32">
        <f>IF(OR(J5="",K5="",G5="同年受取"),"",IF(J5&lt;K5,AF5,IF(G5="DC → 会社退職金",入力!$B$22,入力!$B$20)))</f>
        <v>2</v>
      </c>
      <c r="AH5" s="33" t="str">
        <f>IF(G5&lt;&gt;"同年受取","",_xlfn.LET(
_xlpm.A開始,入力!$B$7,
_xlpm.A終了,入力!$B$8,
_xlpm.B開始,入力!$B$11,
_xlpm.B終了,B5,
_xlpm.A日数,_xlpm.A終了-_xlpm.A開始+1,
_xlpm.B日数,_xlpm.B終了-_xlpm.B開始+1,
IF(
OR(_xlpm.A終了&lt;_xlpm.B開始,_xlpm.B終了&lt;_xlpm.A開始),
IF(_xlpm.A日数&gt;=_xlpm.B日数,
DATEDIF(_xlpm.A開始,_xlpm.A終了+1,"Y")+IF(DATEDIF(_xlpm.A開始,_xlpm.A終了+1,"YD")&gt;0,1,0),
DATEDIF(_xlpm.B開始,_xlpm.B終了+1,"Y")+IF(DATEDIF(_xlpm.B開始,_xlpm.B終了+1,"YD")&gt;0,1,0)
),
DATEDIF(MIN(_xlpm.A開始,_xlpm.B開始),MAX(_xlpm.A終了,_xlpm.B終了)+1,"Y")
+IF(DATEDIF(MIN(_xlpm.A開始,_xlpm.B開始),MAX(_xlpm.A終了,_xlpm.B終了)+1,"YD")&gt;0,1,0)
)
))</f>
        <v/>
      </c>
      <c r="AI5" s="34" t="str">
        <f t="shared" si="14"/>
        <v/>
      </c>
      <c r="AJ5" s="34" t="str">
        <f t="shared" si="15"/>
        <v/>
      </c>
      <c r="AK5" s="35" t="str">
        <f t="shared" si="16"/>
        <v/>
      </c>
      <c r="AL5" s="34" t="str">
        <f t="shared" si="17"/>
        <v/>
      </c>
      <c r="AM5" s="34" t="str">
        <f t="shared" si="18"/>
        <v/>
      </c>
      <c r="AN5" s="34" t="str">
        <f t="shared" si="19"/>
        <v/>
      </c>
      <c r="AO5" s="34" t="str">
        <f t="shared" si="20"/>
        <v/>
      </c>
      <c r="AP5" s="34" t="str">
        <f t="shared" si="21"/>
        <v/>
      </c>
      <c r="AQ5" s="34">
        <f t="shared" si="22"/>
        <v>25021948</v>
      </c>
    </row>
    <row r="6" spans="1:43" ht="18.75" customHeight="1" x14ac:dyDescent="0.4">
      <c r="A6" s="24">
        <v>3</v>
      </c>
      <c r="B6" s="5">
        <v>48395</v>
      </c>
      <c r="C6" s="5">
        <v>48395</v>
      </c>
      <c r="D6" s="25">
        <f>入力!$B$9</f>
        <v>47634</v>
      </c>
      <c r="E6" s="26">
        <f>入力!$B$14</f>
        <v>25000000</v>
      </c>
      <c r="F6" s="26">
        <f>入力!$B$10</f>
        <v>1000000</v>
      </c>
      <c r="G6" s="27" t="str">
        <f>IF(OR(C6="",D6=""),"",IF(YEAR(C6)=YEAR(D6),"同年受取",IF(C6&lt;D6,入力!$B$6&amp;" → 会社退職金","会社退職金 → "&amp;入力!$B$6)))</f>
        <v>会社退職金 → DC</v>
      </c>
      <c r="H6" s="27">
        <f>IF(
  OR(G6="同年受取",G6=""),
  "",
  IF(
    入力!$B$6="DB",
    入力!$B$15,
    IF(
      G6="DC → 会社退職金",
      入力!$B$15,
      入力!$B$16
    )
  )
)</f>
        <v>19</v>
      </c>
      <c r="I6" s="27" t="str">
        <f t="shared" si="0"/>
        <v>対象</v>
      </c>
      <c r="J6" s="26">
        <f t="shared" si="1"/>
        <v>1000000</v>
      </c>
      <c r="K6" s="26">
        <f>IF(G6="同年受取","",
 IF(ISNUMBER(SEARCH(" → 会社退職金",G6)),
   _xlfn.LET(
     _xlpm.DC開始,入力!$B$11,
     _xlpm.DC終了,B6,
     _xlpm.年数,IF(DATEDIF(_xlpm.DC開始,_xlpm.DC終了+1,"M")=0,1,CEILING(DATEDIF(_xlpm.DC開始,_xlpm.DC終了+1,"M")/12,1)),
     IF(_xlpm.年数&lt;=20,MAX(400000*_xlpm.年数,800000),8000000+700000*(_xlpm.年数-20))
   ),
 IF(ISNUMBER(SEARCH("会社退職金 → ",G6)),
   _xlfn.LET(
     _xlpm.会社控除額,入力!$B$21,
     _xlpm.会社控除額
   ),
 "")))</f>
        <v>22000000</v>
      </c>
      <c r="L6" s="28" t="str">
        <f t="shared" si="2"/>
        <v>該当</v>
      </c>
      <c r="M6" s="29">
        <f>_xlfn.LET(
 _xlpm.前判定,L6,
 _xlpm.前退,J6,
 _xlpm.前控,K6,
 _xlpm.会勤年,入力!$B$20,
 IF(G6="同年受取","",
   IF(OR(_xlpm.前退="",_xlpm.前控=""),"",
     IF(_xlpm.前判定="該当",
       ROUNDDOWN(IF(_xlpm.前退&lt;=8000000,_xlpm.前退/400000,(_xlpm.前退-8000000)/700000+20),0),
       IF(ISNUMBER(SEARCH(" → 会社退職金",G6)),
         _xlfn.LET(
           _xlpm.DC開始,入力!$B$11,
           _xlpm.DC終了,B6,
           DATEDIF(_xlpm.DC開始,_xlpm.DC終了+1,"Y")
           +IF(DATEDIF(_xlpm.DC開始,_xlpm.DC終了+1,"YD")&gt;0,1,0)
         ),
         IF(ISNUMBER(SEARCH("会社退職金 → ",G6)),
           _xlpm.会勤年,
           ""
         )
       )
     )
   )
 )
)</f>
        <v>2</v>
      </c>
      <c r="N6" s="30">
        <f>IF(G6="同年受取","",IF(I6&lt;&gt;"対象","",MAX(IF(ISNUMBER(SEARCH(" → 会社退職金",G6)),入力!$B$11,入力!$B$7),IF(ISNUMBER(SEARCH(" → 会社退職金",G6)),入力!$B$7,入力!$B$11))))</f>
        <v>36982</v>
      </c>
      <c r="O6" s="30">
        <f>_xlfn.LET(
  _xlpm.受取順,G6,
  _xlpm.対象,I6,
  _xlpm.前退,J6,
  _xlpm.前控,K6,
  _xlpm.前換算年,M6,
  _xlpm.会社開始,入力!$B$7,
  _xlpm.会社終了,入力!$B$8,
  _xlpm.DC開始,入力!$B$11,
  _xlpm.DC終了,B6,
  _xlpm.重複終了上限,IF(
    ISNUMBER(SEARCH(" → 会社退職金",_xlpm.受取順)),
    _xlpm.DC終了,
    _xlpm.会社終了
  ),
  _xlpm.換算期間終了,IF(
    _xlpm.前退&lt;_xlpm.前控,
    EDATE(
      IF(
        ISNUMBER(SEARCH(" → 会社退職金",_xlpm.受取順)),
        _xlpm.DC開始,
        _xlpm.会社開始
      ),
      _xlpm.前換算年*12
    )-1,
    _xlpm.重複終了上限
  ),
  IF(
    _xlpm.受取順="同年受取",
    "",
    IF(
      _xlpm.対象&lt;&gt;"対象",
      "",
      MIN(
        _xlpm.重複終了上限,
        _xlpm.換算期間終了
      )
    )
  )
)</f>
        <v>34059</v>
      </c>
      <c r="P6" s="29">
        <f t="shared" si="3"/>
        <v>0</v>
      </c>
      <c r="Q6" s="28">
        <f>IF(G6="同年受取","",
_xlfn.LET(
_xlpm.受取順,G6,
_xlpm.実重複年,P6,
_xlpm.会社本来控除,入力!$B$21,
_xlpm.重複控除,IF(
_xlpm.実重複年&lt;=20,
MAX(800000,400000*_xlpm.実重複年),
8000000+700000*(_xlpm.実重複年-20)
),
IF(
ISNUMBER(SEARCH(" → 会社退職金",_xlpm.受取順)),
IF(
I6="対象",
MAX(0,_xlpm.会社本来控除-_xlpm.重複控除),
_xlpm.会社本来控除
),
_xlpm.会社本来控除
)
))</f>
        <v>22000000</v>
      </c>
      <c r="R6" s="28">
        <f>IF(G6="同年受取","",
 _xlfn.LET(
  _xlpm.受取順,G6,
  _xlpm.DC開始,入力!$B$11,
  _xlpm.DC終了,B6,
  _xlpm.実重複年,P6,
  _xlpm.DC年数,IF(
   DATEDIF(_xlpm.DC開始,_xlpm.DC終了+1,"M")=0,
   1,
   CEILING(DATEDIF(_xlpm.DC開始,_xlpm.DC終了+1,"M")/12,1)
  ),
  _xlpm.DC本来控除,IF(
   _xlpm.DC年数&lt;=20,
   400000*_xlpm.DC年数,
   8000000+700000*(_xlpm.DC年数-20)
  ),
  _xlpm.重複控除,IF(
   _xlpm.実重複年=0,
   0,
   IF(
    _xlpm.実重複年&lt;=20,
    400000*_xlpm.実重複年,
    8000000+700000*(_xlpm.実重複年-20)
   )
  ),
  IF(
   _xlpm.受取順="会社退職金 → DC",
   IF(
    I6="対象",
    MAX(0,_xlpm.DC本来控除-_xlpm.重複控除),
    _xlpm.DC本来控除
   ),
   _xlpm.DC本来控除
  )
 )
)</f>
        <v>16400000</v>
      </c>
      <c r="S6" s="28">
        <f t="shared" si="4"/>
        <v>0</v>
      </c>
      <c r="T6" s="28">
        <f t="shared" si="5"/>
        <v>4300000</v>
      </c>
      <c r="U6" s="31">
        <f>IF(OR(G6="同年受取",S6=""),"",VLOOKUP(S6,税率表!$A$2:$C$8,2,TRUE))</f>
        <v>0.05</v>
      </c>
      <c r="V6" s="28">
        <f>IF(U6="","",VLOOKUP(S6,税率表!$A$2:$C$8,3,TRUE))</f>
        <v>0</v>
      </c>
      <c r="W6" s="28">
        <f t="shared" si="6"/>
        <v>0</v>
      </c>
      <c r="X6" s="31">
        <f>IF(OR(G6="同年受取",T6=""),"",VLOOKUP(T6,税率表!$A$2:$C$8,2,TRUE))</f>
        <v>0.2</v>
      </c>
      <c r="Y6" s="28">
        <f>IF(X6="","",VLOOKUP(T6,税率表!$A$2:$C$8,3,TRUE))</f>
        <v>427500</v>
      </c>
      <c r="Z6" s="28">
        <f t="shared" si="7"/>
        <v>441582</v>
      </c>
      <c r="AA6" s="28">
        <f t="shared" si="8"/>
        <v>0</v>
      </c>
      <c r="AB6" s="28">
        <f t="shared" si="9"/>
        <v>430000</v>
      </c>
      <c r="AC6" s="28">
        <f t="shared" si="10"/>
        <v>871582</v>
      </c>
      <c r="AD6" s="28">
        <f t="shared" si="11"/>
        <v>25128418</v>
      </c>
      <c r="AE6" s="32" t="str">
        <f t="shared" si="12"/>
        <v>No.2732：確認期間→前の金額/控除→換算年数→重複年度→後の控除調整→課税退職所得→税額</v>
      </c>
      <c r="AF6" s="32">
        <f t="shared" si="13"/>
        <v>2</v>
      </c>
      <c r="AG6" s="32">
        <f>IF(OR(J6="",K6="",G6="同年受取"),"",IF(J6&lt;K6,AF6,IF(G6="DC → 会社退職金",入力!$B$22,入力!$B$20)))</f>
        <v>2</v>
      </c>
      <c r="AH6" s="33" t="str">
        <f>IF(G6&lt;&gt;"同年受取","",_xlfn.LET(
_xlpm.A開始,入力!$B$7,
_xlpm.A終了,入力!$B$8,
_xlpm.B開始,入力!$B$11,
_xlpm.B終了,B6,
_xlpm.A日数,_xlpm.A終了-_xlpm.A開始+1,
_xlpm.B日数,_xlpm.B終了-_xlpm.B開始+1,
IF(
OR(_xlpm.A終了&lt;_xlpm.B開始,_xlpm.B終了&lt;_xlpm.A開始),
IF(_xlpm.A日数&gt;=_xlpm.B日数,
DATEDIF(_xlpm.A開始,_xlpm.A終了+1,"Y")+IF(DATEDIF(_xlpm.A開始,_xlpm.A終了+1,"YD")&gt;0,1,0),
DATEDIF(_xlpm.B開始,_xlpm.B終了+1,"Y")+IF(DATEDIF(_xlpm.B開始,_xlpm.B終了+1,"YD")&gt;0,1,0)
),
DATEDIF(MIN(_xlpm.A開始,_xlpm.B開始),MAX(_xlpm.A終了,_xlpm.B終了)+1,"Y")
+IF(DATEDIF(MIN(_xlpm.A開始,_xlpm.B開始),MAX(_xlpm.A終了,_xlpm.B終了)+1,"YD")&gt;0,1,0)
)
))</f>
        <v/>
      </c>
      <c r="AI6" s="34" t="str">
        <f t="shared" si="14"/>
        <v/>
      </c>
      <c r="AJ6" s="34" t="str">
        <f t="shared" si="15"/>
        <v/>
      </c>
      <c r="AK6" s="35" t="str">
        <f t="shared" si="16"/>
        <v/>
      </c>
      <c r="AL6" s="34" t="str">
        <f t="shared" si="17"/>
        <v/>
      </c>
      <c r="AM6" s="34" t="str">
        <f t="shared" si="18"/>
        <v/>
      </c>
      <c r="AN6" s="34" t="str">
        <f t="shared" si="19"/>
        <v/>
      </c>
      <c r="AO6" s="34" t="str">
        <f t="shared" si="20"/>
        <v/>
      </c>
      <c r="AP6" s="34" t="str">
        <f t="shared" si="21"/>
        <v/>
      </c>
      <c r="AQ6" s="34">
        <f t="shared" si="22"/>
        <v>25128418</v>
      </c>
    </row>
    <row r="7" spans="1:43" ht="18.75" customHeight="1" x14ac:dyDescent="0.4">
      <c r="A7" s="24">
        <v>4</v>
      </c>
      <c r="B7" s="5">
        <v>48760</v>
      </c>
      <c r="C7" s="5">
        <v>48760</v>
      </c>
      <c r="D7" s="25">
        <f>入力!$B$9</f>
        <v>47634</v>
      </c>
      <c r="E7" s="26">
        <f>入力!$B$14</f>
        <v>25000000</v>
      </c>
      <c r="F7" s="26">
        <f>入力!$B$10</f>
        <v>1000000</v>
      </c>
      <c r="G7" s="27" t="str">
        <f>IF(OR(C7="",D7=""),"",IF(YEAR(C7)=YEAR(D7),"同年受取",IF(C7&lt;D7,入力!$B$6&amp;" → 会社退職金","会社退職金 → "&amp;入力!$B$6)))</f>
        <v>会社退職金 → DC</v>
      </c>
      <c r="H7" s="27">
        <f>IF(
  OR(G7="同年受取",G7=""),
  "",
  IF(
    入力!$B$6="DB",
    入力!$B$15,
    IF(
      G7="DC → 会社退職金",
      入力!$B$15,
      入力!$B$16
    )
  )
)</f>
        <v>19</v>
      </c>
      <c r="I7" s="27" t="str">
        <f t="shared" si="0"/>
        <v>対象</v>
      </c>
      <c r="J7" s="26">
        <f t="shared" si="1"/>
        <v>1000000</v>
      </c>
      <c r="K7" s="26">
        <f>IF(G7="同年受取","",
 IF(ISNUMBER(SEARCH(" → 会社退職金",G7)),
   _xlfn.LET(
     _xlpm.DC開始,入力!$B$11,
     _xlpm.DC終了,B7,
     _xlpm.年数,IF(DATEDIF(_xlpm.DC開始,_xlpm.DC終了+1,"M")=0,1,CEILING(DATEDIF(_xlpm.DC開始,_xlpm.DC終了+1,"M")/12,1)),
     IF(_xlpm.年数&lt;=20,MAX(400000*_xlpm.年数,800000),8000000+700000*(_xlpm.年数-20))
   ),
 IF(ISNUMBER(SEARCH("会社退職金 → ",G7)),
   _xlfn.LET(
     _xlpm.会社控除額,入力!$B$21,
     _xlpm.会社控除額
   ),
 "")))</f>
        <v>22000000</v>
      </c>
      <c r="L7" s="28" t="str">
        <f t="shared" si="2"/>
        <v>該当</v>
      </c>
      <c r="M7" s="29">
        <f>_xlfn.LET(
 _xlpm.前判定,L7,
 _xlpm.前退,J7,
 _xlpm.前控,K7,
 _xlpm.会勤年,入力!$B$20,
 IF(G7="同年受取","",
   IF(OR(_xlpm.前退="",_xlpm.前控=""),"",
     IF(_xlpm.前判定="該当",
       ROUNDDOWN(IF(_xlpm.前退&lt;=8000000,_xlpm.前退/400000,(_xlpm.前退-8000000)/700000+20),0),
       IF(ISNUMBER(SEARCH(" → 会社退職金",G7)),
         _xlfn.LET(
           _xlpm.DC開始,入力!$B$11,
           _xlpm.DC終了,B7,
           DATEDIF(_xlpm.DC開始,_xlpm.DC終了+1,"Y")
           +IF(DATEDIF(_xlpm.DC開始,_xlpm.DC終了+1,"YD")&gt;0,1,0)
         ),
         IF(ISNUMBER(SEARCH("会社退職金 → ",G7)),
           _xlpm.会勤年,
           ""
         )
       )
     )
   )
 )
)</f>
        <v>2</v>
      </c>
      <c r="N7" s="30">
        <f>IF(G7="同年受取","",IF(I7&lt;&gt;"対象","",MAX(IF(ISNUMBER(SEARCH(" → 会社退職金",G7)),入力!$B$11,入力!$B$7),IF(ISNUMBER(SEARCH(" → 会社退職金",G7)),入力!$B$7,入力!$B$11))))</f>
        <v>36982</v>
      </c>
      <c r="O7" s="30">
        <f>_xlfn.LET(
  _xlpm.受取順,G7,
  _xlpm.対象,I7,
  _xlpm.前退,J7,
  _xlpm.前控,K7,
  _xlpm.前換算年,M7,
  _xlpm.会社開始,入力!$B$7,
  _xlpm.会社終了,入力!$B$8,
  _xlpm.DC開始,入力!$B$11,
  _xlpm.DC終了,B7,
  _xlpm.重複終了上限,IF(
    ISNUMBER(SEARCH(" → 会社退職金",_xlpm.受取順)),
    _xlpm.DC終了,
    _xlpm.会社終了
  ),
  _xlpm.換算期間終了,IF(
    _xlpm.前退&lt;_xlpm.前控,
    EDATE(
      IF(
        ISNUMBER(SEARCH(" → 会社退職金",_xlpm.受取順)),
        _xlpm.DC開始,
        _xlpm.会社開始
      ),
      _xlpm.前換算年*12
    )-1,
    _xlpm.重複終了上限
  ),
  IF(
    _xlpm.受取順="同年受取",
    "",
    IF(
      _xlpm.対象&lt;&gt;"対象",
      "",
      MIN(
        _xlpm.重複終了上限,
        _xlpm.換算期間終了
      )
    )
  )
)</f>
        <v>34059</v>
      </c>
      <c r="P7" s="29">
        <f t="shared" si="3"/>
        <v>0</v>
      </c>
      <c r="Q7" s="28">
        <f>IF(G7="同年受取","",
_xlfn.LET(
_xlpm.受取順,G7,
_xlpm.実重複年,P7,
_xlpm.会社本来控除,入力!$B$21,
_xlpm.重複控除,IF(
_xlpm.実重複年&lt;=20,
MAX(800000,400000*_xlpm.実重複年),
8000000+700000*(_xlpm.実重複年-20)
),
IF(
ISNUMBER(SEARCH(" → 会社退職金",_xlpm.受取順)),
IF(
I7="対象",
MAX(0,_xlpm.会社本来控除-_xlpm.重複控除),
_xlpm.会社本来控除
),
_xlpm.会社本来控除
)
))</f>
        <v>22000000</v>
      </c>
      <c r="R7" s="28">
        <f>IF(G7="同年受取","",
 _xlfn.LET(
  _xlpm.受取順,G7,
  _xlpm.DC開始,入力!$B$11,
  _xlpm.DC終了,B7,
  _xlpm.実重複年,P7,
  _xlpm.DC年数,IF(
   DATEDIF(_xlpm.DC開始,_xlpm.DC終了+1,"M")=0,
   1,
   CEILING(DATEDIF(_xlpm.DC開始,_xlpm.DC終了+1,"M")/12,1)
  ),
  _xlpm.DC本来控除,IF(
   _xlpm.DC年数&lt;=20,
   400000*_xlpm.DC年数,
   8000000+700000*(_xlpm.DC年数-20)
  ),
  _xlpm.重複控除,IF(
   _xlpm.実重複年=0,
   0,
   IF(
    _xlpm.実重複年&lt;=20,
    400000*_xlpm.実重複年,
    8000000+700000*(_xlpm.実重複年-20)
   )
  ),
  IF(
   _xlpm.受取順="会社退職金 → DC",
   IF(
    I7="対象",
    MAX(0,_xlpm.DC本来控除-_xlpm.重複控除),
    _xlpm.DC本来控除
   ),
   _xlpm.DC本来控除
  )
 )
)</f>
        <v>17100000</v>
      </c>
      <c r="S7" s="28">
        <f t="shared" si="4"/>
        <v>0</v>
      </c>
      <c r="T7" s="28">
        <f t="shared" si="5"/>
        <v>3950000</v>
      </c>
      <c r="U7" s="31">
        <f>IF(OR(G7="同年受取",S7=""),"",VLOOKUP(S7,税率表!$A$2:$C$8,2,TRUE))</f>
        <v>0.05</v>
      </c>
      <c r="V7" s="28">
        <f>IF(U7="","",VLOOKUP(S7,税率表!$A$2:$C$8,3,TRUE))</f>
        <v>0</v>
      </c>
      <c r="W7" s="28">
        <f t="shared" si="6"/>
        <v>0</v>
      </c>
      <c r="X7" s="31">
        <f>IF(OR(G7="同年受取",T7=""),"",VLOOKUP(T7,税率表!$A$2:$C$8,2,TRUE))</f>
        <v>0.2</v>
      </c>
      <c r="Y7" s="28">
        <f>IF(X7="","",VLOOKUP(T7,税率表!$A$2:$C$8,3,TRUE))</f>
        <v>427500</v>
      </c>
      <c r="Z7" s="28">
        <f t="shared" si="7"/>
        <v>370112</v>
      </c>
      <c r="AA7" s="28">
        <f t="shared" si="8"/>
        <v>0</v>
      </c>
      <c r="AB7" s="28">
        <f t="shared" si="9"/>
        <v>395000</v>
      </c>
      <c r="AC7" s="28">
        <f t="shared" si="10"/>
        <v>765112</v>
      </c>
      <c r="AD7" s="28">
        <f t="shared" si="11"/>
        <v>25234888</v>
      </c>
      <c r="AE7" s="32" t="str">
        <f t="shared" si="12"/>
        <v>No.2732：確認期間→前の金額/控除→換算年数→重複年度→後の控除調整→課税退職所得→税額</v>
      </c>
      <c r="AF7" s="32">
        <f t="shared" si="13"/>
        <v>2</v>
      </c>
      <c r="AG7" s="32">
        <f>IF(OR(J7="",K7="",G7="同年受取"),"",IF(J7&lt;K7,AF7,IF(G7="DC → 会社退職金",入力!$B$22,入力!$B$20)))</f>
        <v>2</v>
      </c>
      <c r="AH7" s="33" t="str">
        <f>IF(G7&lt;&gt;"同年受取","",_xlfn.LET(
_xlpm.A開始,入力!$B$7,
_xlpm.A終了,入力!$B$8,
_xlpm.B開始,入力!$B$11,
_xlpm.B終了,B7,
_xlpm.A日数,_xlpm.A終了-_xlpm.A開始+1,
_xlpm.B日数,_xlpm.B終了-_xlpm.B開始+1,
IF(
OR(_xlpm.A終了&lt;_xlpm.B開始,_xlpm.B終了&lt;_xlpm.A開始),
IF(_xlpm.A日数&gt;=_xlpm.B日数,
DATEDIF(_xlpm.A開始,_xlpm.A終了+1,"Y")+IF(DATEDIF(_xlpm.A開始,_xlpm.A終了+1,"YD")&gt;0,1,0),
DATEDIF(_xlpm.B開始,_xlpm.B終了+1,"Y")+IF(DATEDIF(_xlpm.B開始,_xlpm.B終了+1,"YD")&gt;0,1,0)
),
DATEDIF(MIN(_xlpm.A開始,_xlpm.B開始),MAX(_xlpm.A終了,_xlpm.B終了)+1,"Y")
+IF(DATEDIF(MIN(_xlpm.A開始,_xlpm.B開始),MAX(_xlpm.A終了,_xlpm.B終了)+1,"YD")&gt;0,1,0)
)
))</f>
        <v/>
      </c>
      <c r="AI7" s="34" t="str">
        <f t="shared" si="14"/>
        <v/>
      </c>
      <c r="AJ7" s="34" t="str">
        <f t="shared" si="15"/>
        <v/>
      </c>
      <c r="AK7" s="35" t="str">
        <f t="shared" si="16"/>
        <v/>
      </c>
      <c r="AL7" s="34" t="str">
        <f t="shared" si="17"/>
        <v/>
      </c>
      <c r="AM7" s="34" t="str">
        <f t="shared" si="18"/>
        <v/>
      </c>
      <c r="AN7" s="34" t="str">
        <f t="shared" si="19"/>
        <v/>
      </c>
      <c r="AO7" s="34" t="str">
        <f t="shared" si="20"/>
        <v/>
      </c>
      <c r="AP7" s="34" t="str">
        <f t="shared" si="21"/>
        <v/>
      </c>
      <c r="AQ7" s="34">
        <f t="shared" si="22"/>
        <v>25234888</v>
      </c>
    </row>
    <row r="8" spans="1:43" ht="18.75" customHeight="1" x14ac:dyDescent="0.4">
      <c r="A8" s="24">
        <v>5</v>
      </c>
      <c r="B8" s="5">
        <v>49125</v>
      </c>
      <c r="C8" s="5">
        <v>49125</v>
      </c>
      <c r="D8" s="25">
        <f>入力!$B$9</f>
        <v>47634</v>
      </c>
      <c r="E8" s="26">
        <f>入力!$B$14</f>
        <v>25000000</v>
      </c>
      <c r="F8" s="26">
        <f>入力!$B$10</f>
        <v>1000000</v>
      </c>
      <c r="G8" s="27" t="str">
        <f>IF(OR(C8="",D8=""),"",IF(YEAR(C8)=YEAR(D8),"同年受取",IF(C8&lt;D8,入力!$B$6&amp;" → 会社退職金","会社退職金 → "&amp;入力!$B$6)))</f>
        <v>会社退職金 → DC</v>
      </c>
      <c r="H8" s="27">
        <f>IF(
  OR(G8="同年受取",G8=""),
  "",
  IF(
    入力!$B$6="DB",
    入力!$B$15,
    IF(
      G8="DC → 会社退職金",
      入力!$B$15,
      入力!$B$16
    )
  )
)</f>
        <v>19</v>
      </c>
      <c r="I8" s="27" t="str">
        <f t="shared" si="0"/>
        <v>対象</v>
      </c>
      <c r="J8" s="26">
        <f t="shared" si="1"/>
        <v>1000000</v>
      </c>
      <c r="K8" s="26">
        <f>IF(G8="同年受取","",
 IF(ISNUMBER(SEARCH(" → 会社退職金",G8)),
   _xlfn.LET(
     _xlpm.DC開始,入力!$B$11,
     _xlpm.DC終了,B8,
     _xlpm.年数,IF(DATEDIF(_xlpm.DC開始,_xlpm.DC終了+1,"M")=0,1,CEILING(DATEDIF(_xlpm.DC開始,_xlpm.DC終了+1,"M")/12,1)),
     IF(_xlpm.年数&lt;=20,MAX(400000*_xlpm.年数,800000),8000000+700000*(_xlpm.年数-20))
   ),
 IF(ISNUMBER(SEARCH("会社退職金 → ",G8)),
   _xlfn.LET(
     _xlpm.会社控除額,入力!$B$21,
     _xlpm.会社控除額
   ),
 "")))</f>
        <v>22000000</v>
      </c>
      <c r="L8" s="28" t="str">
        <f t="shared" si="2"/>
        <v>該当</v>
      </c>
      <c r="M8" s="29">
        <f>_xlfn.LET(
 _xlpm.前判定,L8,
 _xlpm.前退,J8,
 _xlpm.前控,K8,
 _xlpm.会勤年,入力!$B$20,
 IF(G8="同年受取","",
   IF(OR(_xlpm.前退="",_xlpm.前控=""),"",
     IF(_xlpm.前判定="該当",
       ROUNDDOWN(IF(_xlpm.前退&lt;=8000000,_xlpm.前退/400000,(_xlpm.前退-8000000)/700000+20),0),
       IF(ISNUMBER(SEARCH(" → 会社退職金",G8)),
         _xlfn.LET(
           _xlpm.DC開始,入力!$B$11,
           _xlpm.DC終了,B8,
           DATEDIF(_xlpm.DC開始,_xlpm.DC終了+1,"Y")
           +IF(DATEDIF(_xlpm.DC開始,_xlpm.DC終了+1,"YD")&gt;0,1,0)
         ),
         IF(ISNUMBER(SEARCH("会社退職金 → ",G8)),
           _xlpm.会勤年,
           ""
         )
       )
     )
   )
 )
)</f>
        <v>2</v>
      </c>
      <c r="N8" s="30">
        <f>IF(G8="同年受取","",IF(I8&lt;&gt;"対象","",MAX(IF(ISNUMBER(SEARCH(" → 会社退職金",G8)),入力!$B$11,入力!$B$7),IF(ISNUMBER(SEARCH(" → 会社退職金",G8)),入力!$B$7,入力!$B$11))))</f>
        <v>36982</v>
      </c>
      <c r="O8" s="30">
        <f>_xlfn.LET(
  _xlpm.受取順,G8,
  _xlpm.対象,I8,
  _xlpm.前退,J8,
  _xlpm.前控,K8,
  _xlpm.前換算年,M8,
  _xlpm.会社開始,入力!$B$7,
  _xlpm.会社終了,入力!$B$8,
  _xlpm.DC開始,入力!$B$11,
  _xlpm.DC終了,B8,
  _xlpm.重複終了上限,IF(
    ISNUMBER(SEARCH(" → 会社退職金",_xlpm.受取順)),
    _xlpm.DC終了,
    _xlpm.会社終了
  ),
  _xlpm.換算期間終了,IF(
    _xlpm.前退&lt;_xlpm.前控,
    EDATE(
      IF(
        ISNUMBER(SEARCH(" → 会社退職金",_xlpm.受取順)),
        _xlpm.DC開始,
        _xlpm.会社開始
      ),
      _xlpm.前換算年*12
    )-1,
    _xlpm.重複終了上限
  ),
  IF(
    _xlpm.受取順="同年受取",
    "",
    IF(
      _xlpm.対象&lt;&gt;"対象",
      "",
      MIN(
        _xlpm.重複終了上限,
        _xlpm.換算期間終了
      )
    )
  )
)</f>
        <v>34059</v>
      </c>
      <c r="P8" s="29">
        <f t="shared" si="3"/>
        <v>0</v>
      </c>
      <c r="Q8" s="28">
        <f>IF(G8="同年受取","",
_xlfn.LET(
_xlpm.受取順,G8,
_xlpm.実重複年,P8,
_xlpm.会社本来控除,入力!$B$21,
_xlpm.重複控除,IF(
_xlpm.実重複年&lt;=20,
MAX(800000,400000*_xlpm.実重複年),
8000000+700000*(_xlpm.実重複年-20)
),
IF(
ISNUMBER(SEARCH(" → 会社退職金",_xlpm.受取順)),
IF(
I8="対象",
MAX(0,_xlpm.会社本来控除-_xlpm.重複控除),
_xlpm.会社本来控除
),
_xlpm.会社本来控除
)
))</f>
        <v>22000000</v>
      </c>
      <c r="R8" s="28">
        <f>IF(G8="同年受取","",
 _xlfn.LET(
  _xlpm.受取順,G8,
  _xlpm.DC開始,入力!$B$11,
  _xlpm.DC終了,B8,
  _xlpm.実重複年,P8,
  _xlpm.DC年数,IF(
   DATEDIF(_xlpm.DC開始,_xlpm.DC終了+1,"M")=0,
   1,
   CEILING(DATEDIF(_xlpm.DC開始,_xlpm.DC終了+1,"M")/12,1)
  ),
  _xlpm.DC本来控除,IF(
   _xlpm.DC年数&lt;=20,
   400000*_xlpm.DC年数,
   8000000+700000*(_xlpm.DC年数-20)
  ),
  _xlpm.重複控除,IF(
   _xlpm.実重複年=0,
   0,
   IF(
    _xlpm.実重複年&lt;=20,
    400000*_xlpm.実重複年,
    8000000+700000*(_xlpm.実重複年-20)
   )
  ),
  IF(
   _xlpm.受取順="会社退職金 → DC",
   IF(
    I8="対象",
    MAX(0,_xlpm.DC本来控除-_xlpm.重複控除),
    _xlpm.DC本来控除
   ),
   _xlpm.DC本来控除
  )
 )
)</f>
        <v>17800000</v>
      </c>
      <c r="S8" s="28">
        <f t="shared" si="4"/>
        <v>0</v>
      </c>
      <c r="T8" s="28">
        <f t="shared" si="5"/>
        <v>3600000</v>
      </c>
      <c r="U8" s="31">
        <f>IF(OR(G8="同年受取",S8=""),"",VLOOKUP(S8,税率表!$A$2:$C$8,2,TRUE))</f>
        <v>0.05</v>
      </c>
      <c r="V8" s="28">
        <f>IF(U8="","",VLOOKUP(S8,税率表!$A$2:$C$8,3,TRUE))</f>
        <v>0</v>
      </c>
      <c r="W8" s="28">
        <f t="shared" si="6"/>
        <v>0</v>
      </c>
      <c r="X8" s="31">
        <f>IF(OR(G8="同年受取",T8=""),"",VLOOKUP(T8,税率表!$A$2:$C$8,2,TRUE))</f>
        <v>0.2</v>
      </c>
      <c r="Y8" s="28">
        <f>IF(X8="","",VLOOKUP(T8,税率表!$A$2:$C$8,3,TRUE))</f>
        <v>427500</v>
      </c>
      <c r="Z8" s="28">
        <f t="shared" si="7"/>
        <v>298642</v>
      </c>
      <c r="AA8" s="28">
        <f t="shared" si="8"/>
        <v>0</v>
      </c>
      <c r="AB8" s="28">
        <f t="shared" si="9"/>
        <v>360000</v>
      </c>
      <c r="AC8" s="28">
        <f t="shared" si="10"/>
        <v>658642</v>
      </c>
      <c r="AD8" s="28">
        <f t="shared" si="11"/>
        <v>25341358</v>
      </c>
      <c r="AE8" s="32" t="str">
        <f t="shared" si="12"/>
        <v>No.2732：確認期間→前の金額/控除→換算年数→重複年度→後の控除調整→課税退職所得→税額</v>
      </c>
      <c r="AF8" s="32">
        <f t="shared" si="13"/>
        <v>2</v>
      </c>
      <c r="AG8" s="32">
        <f>IF(OR(J8="",K8="",G8="同年受取"),"",IF(J8&lt;K8,AF8,IF(G8="DC → 会社退職金",入力!$B$22,入力!$B$20)))</f>
        <v>2</v>
      </c>
      <c r="AH8" s="33" t="str">
        <f>IF(G8&lt;&gt;"同年受取","",_xlfn.LET(
_xlpm.A開始,入力!$B$7,
_xlpm.A終了,入力!$B$8,
_xlpm.B開始,入力!$B$11,
_xlpm.B終了,B8,
_xlpm.A日数,_xlpm.A終了-_xlpm.A開始+1,
_xlpm.B日数,_xlpm.B終了-_xlpm.B開始+1,
IF(
OR(_xlpm.A終了&lt;_xlpm.B開始,_xlpm.B終了&lt;_xlpm.A開始),
IF(_xlpm.A日数&gt;=_xlpm.B日数,
DATEDIF(_xlpm.A開始,_xlpm.A終了+1,"Y")+IF(DATEDIF(_xlpm.A開始,_xlpm.A終了+1,"YD")&gt;0,1,0),
DATEDIF(_xlpm.B開始,_xlpm.B終了+1,"Y")+IF(DATEDIF(_xlpm.B開始,_xlpm.B終了+1,"YD")&gt;0,1,0)
),
DATEDIF(MIN(_xlpm.A開始,_xlpm.B開始),MAX(_xlpm.A終了,_xlpm.B終了)+1,"Y")
+IF(DATEDIF(MIN(_xlpm.A開始,_xlpm.B開始),MAX(_xlpm.A終了,_xlpm.B終了)+1,"YD")&gt;0,1,0)
)
))</f>
        <v/>
      </c>
      <c r="AI8" s="34" t="str">
        <f t="shared" si="14"/>
        <v/>
      </c>
      <c r="AJ8" s="34" t="str">
        <f t="shared" si="15"/>
        <v/>
      </c>
      <c r="AK8" s="35" t="str">
        <f t="shared" si="16"/>
        <v/>
      </c>
      <c r="AL8" s="34" t="str">
        <f t="shared" si="17"/>
        <v/>
      </c>
      <c r="AM8" s="34" t="str">
        <f t="shared" si="18"/>
        <v/>
      </c>
      <c r="AN8" s="34" t="str">
        <f t="shared" si="19"/>
        <v/>
      </c>
      <c r="AO8" s="34" t="str">
        <f t="shared" si="20"/>
        <v/>
      </c>
      <c r="AP8" s="34" t="str">
        <f t="shared" si="21"/>
        <v/>
      </c>
      <c r="AQ8" s="34">
        <f t="shared" si="22"/>
        <v>25341358</v>
      </c>
    </row>
    <row r="9" spans="1:43" ht="18.75" customHeight="1" x14ac:dyDescent="0.4">
      <c r="A9" s="24">
        <v>6</v>
      </c>
      <c r="B9" s="5">
        <v>49490</v>
      </c>
      <c r="C9" s="5">
        <v>49490</v>
      </c>
      <c r="D9" s="25">
        <f>入力!$B$9</f>
        <v>47634</v>
      </c>
      <c r="E9" s="26">
        <f>入力!$B$14</f>
        <v>25000000</v>
      </c>
      <c r="F9" s="26">
        <f>入力!$B$10</f>
        <v>1000000</v>
      </c>
      <c r="G9" s="27" t="str">
        <f>IF(OR(C9="",D9=""),"",IF(YEAR(C9)=YEAR(D9),"同年受取",IF(C9&lt;D9,入力!$B$6&amp;" → 会社退職金","会社退職金 → "&amp;入力!$B$6)))</f>
        <v>会社退職金 → DC</v>
      </c>
      <c r="H9" s="27">
        <f>IF(
  OR(G9="同年受取",G9=""),
  "",
  IF(
    入力!$B$6="DB",
    入力!$B$15,
    IF(
      G9="DC → 会社退職金",
      入力!$B$15,
      入力!$B$16
    )
  )
)</f>
        <v>19</v>
      </c>
      <c r="I9" s="27" t="str">
        <f t="shared" si="0"/>
        <v>対象</v>
      </c>
      <c r="J9" s="26">
        <f t="shared" si="1"/>
        <v>1000000</v>
      </c>
      <c r="K9" s="26">
        <f>IF(G9="同年受取","",
 IF(ISNUMBER(SEARCH(" → 会社退職金",G9)),
   _xlfn.LET(
     _xlpm.DC開始,入力!$B$11,
     _xlpm.DC終了,B9,
     _xlpm.年数,IF(DATEDIF(_xlpm.DC開始,_xlpm.DC終了+1,"M")=0,1,CEILING(DATEDIF(_xlpm.DC開始,_xlpm.DC終了+1,"M")/12,1)),
     IF(_xlpm.年数&lt;=20,MAX(400000*_xlpm.年数,800000),8000000+700000*(_xlpm.年数-20))
   ),
 IF(ISNUMBER(SEARCH("会社退職金 → ",G9)),
   _xlfn.LET(
     _xlpm.会社控除額,入力!$B$21,
     _xlpm.会社控除額
   ),
 "")))</f>
        <v>22000000</v>
      </c>
      <c r="L9" s="28" t="str">
        <f t="shared" si="2"/>
        <v>該当</v>
      </c>
      <c r="M9" s="29">
        <f>_xlfn.LET(
 _xlpm.前判定,L9,
 _xlpm.前退,J9,
 _xlpm.前控,K9,
 _xlpm.会勤年,入力!$B$20,
 IF(G9="同年受取","",
   IF(OR(_xlpm.前退="",_xlpm.前控=""),"",
     IF(_xlpm.前判定="該当",
       ROUNDDOWN(IF(_xlpm.前退&lt;=8000000,_xlpm.前退/400000,(_xlpm.前退-8000000)/700000+20),0),
       IF(ISNUMBER(SEARCH(" → 会社退職金",G9)),
         _xlfn.LET(
           _xlpm.DC開始,入力!$B$11,
           _xlpm.DC終了,B9,
           DATEDIF(_xlpm.DC開始,_xlpm.DC終了+1,"Y")
           +IF(DATEDIF(_xlpm.DC開始,_xlpm.DC終了+1,"YD")&gt;0,1,0)
         ),
         IF(ISNUMBER(SEARCH("会社退職金 → ",G9)),
           _xlpm.会勤年,
           ""
         )
       )
     )
   )
 )
)</f>
        <v>2</v>
      </c>
      <c r="N9" s="30">
        <f>IF(G9="同年受取","",IF(I9&lt;&gt;"対象","",MAX(IF(ISNUMBER(SEARCH(" → 会社退職金",G9)),入力!$B$11,入力!$B$7),IF(ISNUMBER(SEARCH(" → 会社退職金",G9)),入力!$B$7,入力!$B$11))))</f>
        <v>36982</v>
      </c>
      <c r="O9" s="30">
        <f>_xlfn.LET(
  _xlpm.受取順,G9,
  _xlpm.対象,I9,
  _xlpm.前退,J9,
  _xlpm.前控,K9,
  _xlpm.前換算年,M9,
  _xlpm.会社開始,入力!$B$7,
  _xlpm.会社終了,入力!$B$8,
  _xlpm.DC開始,入力!$B$11,
  _xlpm.DC終了,B9,
  _xlpm.重複終了上限,IF(
    ISNUMBER(SEARCH(" → 会社退職金",_xlpm.受取順)),
    _xlpm.DC終了,
    _xlpm.会社終了
  ),
  _xlpm.換算期間終了,IF(
    _xlpm.前退&lt;_xlpm.前控,
    EDATE(
      IF(
        ISNUMBER(SEARCH(" → 会社退職金",_xlpm.受取順)),
        _xlpm.DC開始,
        _xlpm.会社開始
      ),
      _xlpm.前換算年*12
    )-1,
    _xlpm.重複終了上限
  ),
  IF(
    _xlpm.受取順="同年受取",
    "",
    IF(
      _xlpm.対象&lt;&gt;"対象",
      "",
      MIN(
        _xlpm.重複終了上限,
        _xlpm.換算期間終了
      )
    )
  )
)</f>
        <v>34059</v>
      </c>
      <c r="P9" s="29">
        <f t="shared" si="3"/>
        <v>0</v>
      </c>
      <c r="Q9" s="28">
        <f>IF(G9="同年受取","",
_xlfn.LET(
_xlpm.受取順,G9,
_xlpm.実重複年,P9,
_xlpm.会社本来控除,入力!$B$21,
_xlpm.重複控除,IF(
_xlpm.実重複年&lt;=20,
MAX(800000,400000*_xlpm.実重複年),
8000000+700000*(_xlpm.実重複年-20)
),
IF(
ISNUMBER(SEARCH(" → 会社退職金",_xlpm.受取順)),
IF(
I9="対象",
MAX(0,_xlpm.会社本来控除-_xlpm.重複控除),
_xlpm.会社本来控除
),
_xlpm.会社本来控除
)
))</f>
        <v>22000000</v>
      </c>
      <c r="R9" s="28">
        <f>IF(G9="同年受取","",
 _xlfn.LET(
  _xlpm.受取順,G9,
  _xlpm.DC開始,入力!$B$11,
  _xlpm.DC終了,B9,
  _xlpm.実重複年,P9,
  _xlpm.DC年数,IF(
   DATEDIF(_xlpm.DC開始,_xlpm.DC終了+1,"M")=0,
   1,
   CEILING(DATEDIF(_xlpm.DC開始,_xlpm.DC終了+1,"M")/12,1)
  ),
  _xlpm.DC本来控除,IF(
   _xlpm.DC年数&lt;=20,
   400000*_xlpm.DC年数,
   8000000+700000*(_xlpm.DC年数-20)
  ),
  _xlpm.重複控除,IF(
   _xlpm.実重複年=0,
   0,
   IF(
    _xlpm.実重複年&lt;=20,
    400000*_xlpm.実重複年,
    8000000+700000*(_xlpm.実重複年-20)
   )
  ),
  IF(
   _xlpm.受取順="会社退職金 → DC",
   IF(
    I9="対象",
    MAX(0,_xlpm.DC本来控除-_xlpm.重複控除),
    _xlpm.DC本来控除
   ),
   _xlpm.DC本来控除
  )
 )
)</f>
        <v>18500000</v>
      </c>
      <c r="S9" s="28">
        <f t="shared" si="4"/>
        <v>0</v>
      </c>
      <c r="T9" s="28">
        <f t="shared" si="5"/>
        <v>3250000</v>
      </c>
      <c r="U9" s="31">
        <f>IF(OR(G9="同年受取",S9=""),"",VLOOKUP(S9,税率表!$A$2:$C$8,2,TRUE))</f>
        <v>0.05</v>
      </c>
      <c r="V9" s="28">
        <f>IF(U9="","",VLOOKUP(S9,税率表!$A$2:$C$8,3,TRUE))</f>
        <v>0</v>
      </c>
      <c r="W9" s="28">
        <f t="shared" si="6"/>
        <v>0</v>
      </c>
      <c r="X9" s="31">
        <f>IF(OR(G9="同年受取",T9=""),"",VLOOKUP(T9,税率表!$A$2:$C$8,2,TRUE))</f>
        <v>0.1</v>
      </c>
      <c r="Y9" s="28">
        <f>IF(X9="","",VLOOKUP(T9,税率表!$A$2:$C$8,3,TRUE))</f>
        <v>97500</v>
      </c>
      <c r="Z9" s="28">
        <f t="shared" si="7"/>
        <v>232277</v>
      </c>
      <c r="AA9" s="28">
        <f t="shared" si="8"/>
        <v>0</v>
      </c>
      <c r="AB9" s="28">
        <f t="shared" si="9"/>
        <v>325000</v>
      </c>
      <c r="AC9" s="28">
        <f t="shared" si="10"/>
        <v>557277</v>
      </c>
      <c r="AD9" s="28">
        <f t="shared" si="11"/>
        <v>25442723</v>
      </c>
      <c r="AE9" s="32" t="str">
        <f t="shared" si="12"/>
        <v>No.2732：確認期間→前の金額/控除→換算年数→重複年度→後の控除調整→課税退職所得→税額</v>
      </c>
      <c r="AF9" s="32">
        <f t="shared" si="13"/>
        <v>2</v>
      </c>
      <c r="AG9" s="32">
        <f>IF(OR(J9="",K9="",G9="同年受取"),"",IF(J9&lt;K9,AF9,IF(G9="DC → 会社退職金",入力!$B$22,入力!$B$20)))</f>
        <v>2</v>
      </c>
      <c r="AH9" s="33" t="str">
        <f>IF(G9&lt;&gt;"同年受取","",_xlfn.LET(
_xlpm.A開始,入力!$B$7,
_xlpm.A終了,入力!$B$8,
_xlpm.B開始,入力!$B$11,
_xlpm.B終了,B9,
_xlpm.A日数,_xlpm.A終了-_xlpm.A開始+1,
_xlpm.B日数,_xlpm.B終了-_xlpm.B開始+1,
IF(
OR(_xlpm.A終了&lt;_xlpm.B開始,_xlpm.B終了&lt;_xlpm.A開始),
IF(_xlpm.A日数&gt;=_xlpm.B日数,
DATEDIF(_xlpm.A開始,_xlpm.A終了+1,"Y")+IF(DATEDIF(_xlpm.A開始,_xlpm.A終了+1,"YD")&gt;0,1,0),
DATEDIF(_xlpm.B開始,_xlpm.B終了+1,"Y")+IF(DATEDIF(_xlpm.B開始,_xlpm.B終了+1,"YD")&gt;0,1,0)
),
DATEDIF(MIN(_xlpm.A開始,_xlpm.B開始),MAX(_xlpm.A終了,_xlpm.B終了)+1,"Y")
+IF(DATEDIF(MIN(_xlpm.A開始,_xlpm.B開始),MAX(_xlpm.A終了,_xlpm.B終了)+1,"YD")&gt;0,1,0)
)
))</f>
        <v/>
      </c>
      <c r="AI9" s="34" t="str">
        <f t="shared" si="14"/>
        <v/>
      </c>
      <c r="AJ9" s="34" t="str">
        <f t="shared" si="15"/>
        <v/>
      </c>
      <c r="AK9" s="35" t="str">
        <f t="shared" si="16"/>
        <v/>
      </c>
      <c r="AL9" s="34" t="str">
        <f t="shared" si="17"/>
        <v/>
      </c>
      <c r="AM9" s="34" t="str">
        <f t="shared" si="18"/>
        <v/>
      </c>
      <c r="AN9" s="34" t="str">
        <f t="shared" si="19"/>
        <v/>
      </c>
      <c r="AO9" s="34" t="str">
        <f t="shared" si="20"/>
        <v/>
      </c>
      <c r="AP9" s="34" t="str">
        <f t="shared" si="21"/>
        <v/>
      </c>
      <c r="AQ9" s="34">
        <f t="shared" si="22"/>
        <v>25442723</v>
      </c>
    </row>
    <row r="10" spans="1:43" ht="18.75" customHeight="1" x14ac:dyDescent="0.4">
      <c r="A10" s="24">
        <v>7</v>
      </c>
      <c r="B10" s="5">
        <v>49856</v>
      </c>
      <c r="C10" s="5">
        <v>49856</v>
      </c>
      <c r="D10" s="25">
        <f>入力!$B$9</f>
        <v>47634</v>
      </c>
      <c r="E10" s="26">
        <f>入力!$B$14</f>
        <v>25000000</v>
      </c>
      <c r="F10" s="26">
        <f>入力!$B$10</f>
        <v>1000000</v>
      </c>
      <c r="G10" s="27" t="str">
        <f>IF(OR(C10="",D10=""),"",IF(YEAR(C10)=YEAR(D10),"同年受取",IF(C10&lt;D10,入力!$B$6&amp;" → 会社退職金","会社退職金 → "&amp;入力!$B$6)))</f>
        <v>会社退職金 → DC</v>
      </c>
      <c r="H10" s="27">
        <f>IF(
  OR(G10="同年受取",G10=""),
  "",
  IF(
    入力!$B$6="DB",
    入力!$B$15,
    IF(
      G10="DC → 会社退職金",
      入力!$B$15,
      入力!$B$16
    )
  )
)</f>
        <v>19</v>
      </c>
      <c r="I10" s="27" t="str">
        <f t="shared" si="0"/>
        <v>対象</v>
      </c>
      <c r="J10" s="26">
        <f t="shared" si="1"/>
        <v>1000000</v>
      </c>
      <c r="K10" s="26">
        <f>IF(G10="同年受取","",
 IF(ISNUMBER(SEARCH(" → 会社退職金",G10)),
   _xlfn.LET(
     _xlpm.DC開始,入力!$B$11,
     _xlpm.DC終了,B10,
     _xlpm.年数,IF(DATEDIF(_xlpm.DC開始,_xlpm.DC終了+1,"M")=0,1,CEILING(DATEDIF(_xlpm.DC開始,_xlpm.DC終了+1,"M")/12,1)),
     IF(_xlpm.年数&lt;=20,MAX(400000*_xlpm.年数,800000),8000000+700000*(_xlpm.年数-20))
   ),
 IF(ISNUMBER(SEARCH("会社退職金 → ",G10)),
   _xlfn.LET(
     _xlpm.会社控除額,入力!$B$21,
     _xlpm.会社控除額
   ),
 "")))</f>
        <v>22000000</v>
      </c>
      <c r="L10" s="28" t="str">
        <f t="shared" si="2"/>
        <v>該当</v>
      </c>
      <c r="M10" s="29">
        <f>_xlfn.LET(
 _xlpm.前判定,L10,
 _xlpm.前退,J10,
 _xlpm.前控,K10,
 _xlpm.会勤年,入力!$B$20,
 IF(G10="同年受取","",
   IF(OR(_xlpm.前退="",_xlpm.前控=""),"",
     IF(_xlpm.前判定="該当",
       ROUNDDOWN(IF(_xlpm.前退&lt;=8000000,_xlpm.前退/400000,(_xlpm.前退-8000000)/700000+20),0),
       IF(ISNUMBER(SEARCH(" → 会社退職金",G10)),
         _xlfn.LET(
           _xlpm.DC開始,入力!$B$11,
           _xlpm.DC終了,B10,
           DATEDIF(_xlpm.DC開始,_xlpm.DC終了+1,"Y")
           +IF(DATEDIF(_xlpm.DC開始,_xlpm.DC終了+1,"YD")&gt;0,1,0)
         ),
         IF(ISNUMBER(SEARCH("会社退職金 → ",G10)),
           _xlpm.会勤年,
           ""
         )
       )
     )
   )
 )
)</f>
        <v>2</v>
      </c>
      <c r="N10" s="30">
        <f>IF(G10="同年受取","",IF(I10&lt;&gt;"対象","",MAX(IF(ISNUMBER(SEARCH(" → 会社退職金",G10)),入力!$B$11,入力!$B$7),IF(ISNUMBER(SEARCH(" → 会社退職金",G10)),入力!$B$7,入力!$B$11))))</f>
        <v>36982</v>
      </c>
      <c r="O10" s="30">
        <f>_xlfn.LET(
  _xlpm.受取順,G10,
  _xlpm.対象,I10,
  _xlpm.前退,J10,
  _xlpm.前控,K10,
  _xlpm.前換算年,M10,
  _xlpm.会社開始,入力!$B$7,
  _xlpm.会社終了,入力!$B$8,
  _xlpm.DC開始,入力!$B$11,
  _xlpm.DC終了,B10,
  _xlpm.重複終了上限,IF(
    ISNUMBER(SEARCH(" → 会社退職金",_xlpm.受取順)),
    _xlpm.DC終了,
    _xlpm.会社終了
  ),
  _xlpm.換算期間終了,IF(
    _xlpm.前退&lt;_xlpm.前控,
    EDATE(
      IF(
        ISNUMBER(SEARCH(" → 会社退職金",_xlpm.受取順)),
        _xlpm.DC開始,
        _xlpm.会社開始
      ),
      _xlpm.前換算年*12
    )-1,
    _xlpm.重複終了上限
  ),
  IF(
    _xlpm.受取順="同年受取",
    "",
    IF(
      _xlpm.対象&lt;&gt;"対象",
      "",
      MIN(
        _xlpm.重複終了上限,
        _xlpm.換算期間終了
      )
    )
  )
)</f>
        <v>34059</v>
      </c>
      <c r="P10" s="29">
        <f t="shared" si="3"/>
        <v>0</v>
      </c>
      <c r="Q10" s="28">
        <f>IF(G10="同年受取","",
_xlfn.LET(
_xlpm.受取順,G10,
_xlpm.実重複年,P10,
_xlpm.会社本来控除,入力!$B$21,
_xlpm.重複控除,IF(
_xlpm.実重複年&lt;=20,
MAX(800000,400000*_xlpm.実重複年),
8000000+700000*(_xlpm.実重複年-20)
),
IF(
ISNUMBER(SEARCH(" → 会社退職金",_xlpm.受取順)),
IF(
I10="対象",
MAX(0,_xlpm.会社本来控除-_xlpm.重複控除),
_xlpm.会社本来控除
),
_xlpm.会社本来控除
)
))</f>
        <v>22000000</v>
      </c>
      <c r="R10" s="28">
        <f>IF(G10="同年受取","",
 _xlfn.LET(
  _xlpm.受取順,G10,
  _xlpm.DC開始,入力!$B$11,
  _xlpm.DC終了,B10,
  _xlpm.実重複年,P10,
  _xlpm.DC年数,IF(
   DATEDIF(_xlpm.DC開始,_xlpm.DC終了+1,"M")=0,
   1,
   CEILING(DATEDIF(_xlpm.DC開始,_xlpm.DC終了+1,"M")/12,1)
  ),
  _xlpm.DC本来控除,IF(
   _xlpm.DC年数&lt;=20,
   400000*_xlpm.DC年数,
   8000000+700000*(_xlpm.DC年数-20)
  ),
  _xlpm.重複控除,IF(
   _xlpm.実重複年=0,
   0,
   IF(
    _xlpm.実重複年&lt;=20,
    400000*_xlpm.実重複年,
    8000000+700000*(_xlpm.実重複年-20)
   )
  ),
  IF(
   _xlpm.受取順="会社退職金 → DC",
   IF(
    I10="対象",
    MAX(0,_xlpm.DC本来控除-_xlpm.重複控除),
    _xlpm.DC本来控除
   ),
   _xlpm.DC本来控除
  )
 )
)</f>
        <v>19200000</v>
      </c>
      <c r="S10" s="28">
        <f t="shared" si="4"/>
        <v>0</v>
      </c>
      <c r="T10" s="28">
        <f t="shared" si="5"/>
        <v>2900000</v>
      </c>
      <c r="U10" s="31">
        <f>IF(OR(G10="同年受取",S10=""),"",VLOOKUP(S10,税率表!$A$2:$C$8,2,TRUE))</f>
        <v>0.05</v>
      </c>
      <c r="V10" s="28">
        <f>IF(U10="","",VLOOKUP(S10,税率表!$A$2:$C$8,3,TRUE))</f>
        <v>0</v>
      </c>
      <c r="W10" s="28">
        <f t="shared" si="6"/>
        <v>0</v>
      </c>
      <c r="X10" s="31">
        <f>IF(OR(G10="同年受取",T10=""),"",VLOOKUP(T10,税率表!$A$2:$C$8,2,TRUE))</f>
        <v>0.1</v>
      </c>
      <c r="Y10" s="28">
        <f>IF(X10="","",VLOOKUP(T10,税率表!$A$2:$C$8,3,TRUE))</f>
        <v>97500</v>
      </c>
      <c r="Z10" s="28">
        <f t="shared" si="7"/>
        <v>196542</v>
      </c>
      <c r="AA10" s="28">
        <f t="shared" si="8"/>
        <v>0</v>
      </c>
      <c r="AB10" s="28">
        <f t="shared" si="9"/>
        <v>290000</v>
      </c>
      <c r="AC10" s="28">
        <f t="shared" si="10"/>
        <v>486542</v>
      </c>
      <c r="AD10" s="28">
        <f t="shared" si="11"/>
        <v>25513458</v>
      </c>
      <c r="AE10" s="32" t="str">
        <f t="shared" si="12"/>
        <v>No.2732：確認期間→前の金額/控除→換算年数→重複年度→後の控除調整→課税退職所得→税額</v>
      </c>
      <c r="AF10" s="32">
        <f t="shared" si="13"/>
        <v>2</v>
      </c>
      <c r="AG10" s="32">
        <f>IF(OR(J10="",K10="",G10="同年受取"),"",IF(J10&lt;K10,AF10,IF(G10="DC → 会社退職金",入力!$B$22,入力!$B$20)))</f>
        <v>2</v>
      </c>
      <c r="AH10" s="33" t="str">
        <f>IF(G10&lt;&gt;"同年受取","",_xlfn.LET(
_xlpm.A開始,入力!$B$7,
_xlpm.A終了,入力!$B$8,
_xlpm.B開始,入力!$B$11,
_xlpm.B終了,B10,
_xlpm.A日数,_xlpm.A終了-_xlpm.A開始+1,
_xlpm.B日数,_xlpm.B終了-_xlpm.B開始+1,
IF(
OR(_xlpm.A終了&lt;_xlpm.B開始,_xlpm.B終了&lt;_xlpm.A開始),
IF(_xlpm.A日数&gt;=_xlpm.B日数,
DATEDIF(_xlpm.A開始,_xlpm.A終了+1,"Y")+IF(DATEDIF(_xlpm.A開始,_xlpm.A終了+1,"YD")&gt;0,1,0),
DATEDIF(_xlpm.B開始,_xlpm.B終了+1,"Y")+IF(DATEDIF(_xlpm.B開始,_xlpm.B終了+1,"YD")&gt;0,1,0)
),
DATEDIF(MIN(_xlpm.A開始,_xlpm.B開始),MAX(_xlpm.A終了,_xlpm.B終了)+1,"Y")
+IF(DATEDIF(MIN(_xlpm.A開始,_xlpm.B開始),MAX(_xlpm.A終了,_xlpm.B終了)+1,"YD")&gt;0,1,0)
)
))</f>
        <v/>
      </c>
      <c r="AI10" s="34" t="str">
        <f t="shared" si="14"/>
        <v/>
      </c>
      <c r="AJ10" s="34" t="str">
        <f t="shared" si="15"/>
        <v/>
      </c>
      <c r="AK10" s="35" t="str">
        <f t="shared" si="16"/>
        <v/>
      </c>
      <c r="AL10" s="34" t="str">
        <f t="shared" si="17"/>
        <v/>
      </c>
      <c r="AM10" s="34" t="str">
        <f t="shared" si="18"/>
        <v/>
      </c>
      <c r="AN10" s="34" t="str">
        <f t="shared" si="19"/>
        <v/>
      </c>
      <c r="AO10" s="34" t="str">
        <f t="shared" si="20"/>
        <v/>
      </c>
      <c r="AP10" s="34" t="str">
        <f t="shared" si="21"/>
        <v/>
      </c>
      <c r="AQ10" s="34">
        <f t="shared" si="22"/>
        <v>25513458</v>
      </c>
    </row>
    <row r="11" spans="1:43" ht="18.75" customHeight="1" x14ac:dyDescent="0.4">
      <c r="A11" s="24">
        <v>8</v>
      </c>
      <c r="B11" s="5">
        <v>50221</v>
      </c>
      <c r="C11" s="5">
        <v>50221</v>
      </c>
      <c r="D11" s="25">
        <f>入力!$B$9</f>
        <v>47634</v>
      </c>
      <c r="E11" s="26">
        <f>入力!$B$14</f>
        <v>25000000</v>
      </c>
      <c r="F11" s="26">
        <f>入力!$B$10</f>
        <v>1000000</v>
      </c>
      <c r="G11" s="27" t="str">
        <f>IF(OR(C11="",D11=""),"",IF(YEAR(C11)=YEAR(D11),"同年受取",IF(C11&lt;D11,入力!$B$6&amp;" → 会社退職金","会社退職金 → "&amp;入力!$B$6)))</f>
        <v>会社退職金 → DC</v>
      </c>
      <c r="H11" s="27">
        <f>IF(
  OR(G11="同年受取",G11=""),
  "",
  IF(
    入力!$B$6="DB",
    入力!$B$15,
    IF(
      G11="DC → 会社退職金",
      入力!$B$15,
      入力!$B$16
    )
  )
)</f>
        <v>19</v>
      </c>
      <c r="I11" s="27" t="str">
        <f t="shared" si="0"/>
        <v>対象</v>
      </c>
      <c r="J11" s="26">
        <f t="shared" si="1"/>
        <v>1000000</v>
      </c>
      <c r="K11" s="26">
        <f>IF(G11="同年受取","",
 IF(ISNUMBER(SEARCH(" → 会社退職金",G11)),
   _xlfn.LET(
     _xlpm.DC開始,入力!$B$11,
     _xlpm.DC終了,B11,
     _xlpm.年数,IF(DATEDIF(_xlpm.DC開始,_xlpm.DC終了+1,"M")=0,1,CEILING(DATEDIF(_xlpm.DC開始,_xlpm.DC終了+1,"M")/12,1)),
     IF(_xlpm.年数&lt;=20,MAX(400000*_xlpm.年数,800000),8000000+700000*(_xlpm.年数-20))
   ),
 IF(ISNUMBER(SEARCH("会社退職金 → ",G11)),
   _xlfn.LET(
     _xlpm.会社控除額,入力!$B$21,
     _xlpm.会社控除額
   ),
 "")))</f>
        <v>22000000</v>
      </c>
      <c r="L11" s="28" t="str">
        <f t="shared" si="2"/>
        <v>該当</v>
      </c>
      <c r="M11" s="29">
        <f>_xlfn.LET(
 _xlpm.前判定,L11,
 _xlpm.前退,J11,
 _xlpm.前控,K11,
 _xlpm.会勤年,入力!$B$20,
 IF(G11="同年受取","",
   IF(OR(_xlpm.前退="",_xlpm.前控=""),"",
     IF(_xlpm.前判定="該当",
       ROUNDDOWN(IF(_xlpm.前退&lt;=8000000,_xlpm.前退/400000,(_xlpm.前退-8000000)/700000+20),0),
       IF(ISNUMBER(SEARCH(" → 会社退職金",G11)),
         _xlfn.LET(
           _xlpm.DC開始,入力!$B$11,
           _xlpm.DC終了,B11,
           DATEDIF(_xlpm.DC開始,_xlpm.DC終了+1,"Y")
           +IF(DATEDIF(_xlpm.DC開始,_xlpm.DC終了+1,"YD")&gt;0,1,0)
         ),
         IF(ISNUMBER(SEARCH("会社退職金 → ",G11)),
           _xlpm.会勤年,
           ""
         )
       )
     )
   )
 )
)</f>
        <v>2</v>
      </c>
      <c r="N11" s="30">
        <f>IF(G11="同年受取","",IF(I11&lt;&gt;"対象","",MAX(IF(ISNUMBER(SEARCH(" → 会社退職金",G11)),入力!$B$11,入力!$B$7),IF(ISNUMBER(SEARCH(" → 会社退職金",G11)),入力!$B$7,入力!$B$11))))</f>
        <v>36982</v>
      </c>
      <c r="O11" s="30">
        <f>_xlfn.LET(
  _xlpm.受取順,G11,
  _xlpm.対象,I11,
  _xlpm.前退,J11,
  _xlpm.前控,K11,
  _xlpm.前換算年,M11,
  _xlpm.会社開始,入力!$B$7,
  _xlpm.会社終了,入力!$B$8,
  _xlpm.DC開始,入力!$B$11,
  _xlpm.DC終了,B11,
  _xlpm.重複終了上限,IF(
    ISNUMBER(SEARCH(" → 会社退職金",_xlpm.受取順)),
    _xlpm.DC終了,
    _xlpm.会社終了
  ),
  _xlpm.換算期間終了,IF(
    _xlpm.前退&lt;_xlpm.前控,
    EDATE(
      IF(
        ISNUMBER(SEARCH(" → 会社退職金",_xlpm.受取順)),
        _xlpm.DC開始,
        _xlpm.会社開始
      ),
      _xlpm.前換算年*12
    )-1,
    _xlpm.重複終了上限
  ),
  IF(
    _xlpm.受取順="同年受取",
    "",
    IF(
      _xlpm.対象&lt;&gt;"対象",
      "",
      MIN(
        _xlpm.重複終了上限,
        _xlpm.換算期間終了
      )
    )
  )
)</f>
        <v>34059</v>
      </c>
      <c r="P11" s="29">
        <f t="shared" si="3"/>
        <v>0</v>
      </c>
      <c r="Q11" s="28">
        <f>IF(G11="同年受取","",
_xlfn.LET(
_xlpm.受取順,G11,
_xlpm.実重複年,P11,
_xlpm.会社本来控除,入力!$B$21,
_xlpm.重複控除,IF(
_xlpm.実重複年&lt;=20,
MAX(800000,400000*_xlpm.実重複年),
8000000+700000*(_xlpm.実重複年-20)
),
IF(
ISNUMBER(SEARCH(" → 会社退職金",_xlpm.受取順)),
IF(
I11="対象",
MAX(0,_xlpm.会社本来控除-_xlpm.重複控除),
_xlpm.会社本来控除
),
_xlpm.会社本来控除
)
))</f>
        <v>22000000</v>
      </c>
      <c r="R11" s="28">
        <f>IF(G11="同年受取","",
 _xlfn.LET(
  _xlpm.受取順,G11,
  _xlpm.DC開始,入力!$B$11,
  _xlpm.DC終了,B11,
  _xlpm.実重複年,P11,
  _xlpm.DC年数,IF(
   DATEDIF(_xlpm.DC開始,_xlpm.DC終了+1,"M")=0,
   1,
   CEILING(DATEDIF(_xlpm.DC開始,_xlpm.DC終了+1,"M")/12,1)
  ),
  _xlpm.DC本来控除,IF(
   _xlpm.DC年数&lt;=20,
   400000*_xlpm.DC年数,
   8000000+700000*(_xlpm.DC年数-20)
  ),
  _xlpm.重複控除,IF(
   _xlpm.実重複年=0,
   0,
   IF(
    _xlpm.実重複年&lt;=20,
    400000*_xlpm.実重複年,
    8000000+700000*(_xlpm.実重複年-20)
   )
  ),
  IF(
   _xlpm.受取順="会社退職金 → DC",
   IF(
    I11="対象",
    MAX(0,_xlpm.DC本来控除-_xlpm.重複控除),
    _xlpm.DC本来控除
   ),
   _xlpm.DC本来控除
  )
 )
)</f>
        <v>19900000</v>
      </c>
      <c r="S11" s="28">
        <f t="shared" si="4"/>
        <v>0</v>
      </c>
      <c r="T11" s="28">
        <f t="shared" si="5"/>
        <v>2550000</v>
      </c>
      <c r="U11" s="31">
        <f>IF(OR(G11="同年受取",S11=""),"",VLOOKUP(S11,税率表!$A$2:$C$8,2,TRUE))</f>
        <v>0.05</v>
      </c>
      <c r="V11" s="28">
        <f>IF(U11="","",VLOOKUP(S11,税率表!$A$2:$C$8,3,TRUE))</f>
        <v>0</v>
      </c>
      <c r="W11" s="28">
        <f t="shared" si="6"/>
        <v>0</v>
      </c>
      <c r="X11" s="31">
        <f>IF(OR(G11="同年受取",T11=""),"",VLOOKUP(T11,税率表!$A$2:$C$8,2,TRUE))</f>
        <v>0.1</v>
      </c>
      <c r="Y11" s="28">
        <f>IF(X11="","",VLOOKUP(T11,税率表!$A$2:$C$8,3,TRUE))</f>
        <v>97500</v>
      </c>
      <c r="Z11" s="28">
        <f t="shared" si="7"/>
        <v>160807</v>
      </c>
      <c r="AA11" s="28">
        <f t="shared" si="8"/>
        <v>0</v>
      </c>
      <c r="AB11" s="28">
        <f t="shared" si="9"/>
        <v>255000</v>
      </c>
      <c r="AC11" s="28">
        <f t="shared" si="10"/>
        <v>415807</v>
      </c>
      <c r="AD11" s="28">
        <f t="shared" si="11"/>
        <v>25584193</v>
      </c>
      <c r="AE11" s="32" t="str">
        <f t="shared" si="12"/>
        <v>No.2732：確認期間→前の金額/控除→換算年数→重複年度→後の控除調整→課税退職所得→税額</v>
      </c>
      <c r="AF11" s="32">
        <f t="shared" si="13"/>
        <v>2</v>
      </c>
      <c r="AG11" s="32">
        <f>IF(OR(J11="",K11="",G11="同年受取"),"",IF(J11&lt;K11,AF11,IF(G11="DC → 会社退職金",入力!$B$22,入力!$B$20)))</f>
        <v>2</v>
      </c>
      <c r="AH11" s="33" t="str">
        <f>IF(G11&lt;&gt;"同年受取","",_xlfn.LET(
_xlpm.A開始,入力!$B$7,
_xlpm.A終了,入力!$B$8,
_xlpm.B開始,入力!$B$11,
_xlpm.B終了,B11,
_xlpm.A日数,_xlpm.A終了-_xlpm.A開始+1,
_xlpm.B日数,_xlpm.B終了-_xlpm.B開始+1,
IF(
OR(_xlpm.A終了&lt;_xlpm.B開始,_xlpm.B終了&lt;_xlpm.A開始),
IF(_xlpm.A日数&gt;=_xlpm.B日数,
DATEDIF(_xlpm.A開始,_xlpm.A終了+1,"Y")+IF(DATEDIF(_xlpm.A開始,_xlpm.A終了+1,"YD")&gt;0,1,0),
DATEDIF(_xlpm.B開始,_xlpm.B終了+1,"Y")+IF(DATEDIF(_xlpm.B開始,_xlpm.B終了+1,"YD")&gt;0,1,0)
),
DATEDIF(MIN(_xlpm.A開始,_xlpm.B開始),MAX(_xlpm.A終了,_xlpm.B終了)+1,"Y")
+IF(DATEDIF(MIN(_xlpm.A開始,_xlpm.B開始),MAX(_xlpm.A終了,_xlpm.B終了)+1,"YD")&gt;0,1,0)
)
))</f>
        <v/>
      </c>
      <c r="AI11" s="34" t="str">
        <f t="shared" si="14"/>
        <v/>
      </c>
      <c r="AJ11" s="34" t="str">
        <f t="shared" si="15"/>
        <v/>
      </c>
      <c r="AK11" s="35" t="str">
        <f t="shared" si="16"/>
        <v/>
      </c>
      <c r="AL11" s="34" t="str">
        <f t="shared" si="17"/>
        <v/>
      </c>
      <c r="AM11" s="34" t="str">
        <f t="shared" si="18"/>
        <v/>
      </c>
      <c r="AN11" s="34" t="str">
        <f t="shared" si="19"/>
        <v/>
      </c>
      <c r="AO11" s="34" t="str">
        <f t="shared" si="20"/>
        <v/>
      </c>
      <c r="AP11" s="34" t="str">
        <f t="shared" si="21"/>
        <v/>
      </c>
      <c r="AQ11" s="34">
        <f t="shared" si="22"/>
        <v>25584193</v>
      </c>
    </row>
    <row r="12" spans="1:43" ht="18.75" customHeight="1" x14ac:dyDescent="0.4">
      <c r="A12" s="24">
        <v>9</v>
      </c>
      <c r="B12" s="5">
        <v>50586</v>
      </c>
      <c r="C12" s="5">
        <v>50586</v>
      </c>
      <c r="D12" s="25">
        <f>入力!$B$9</f>
        <v>47634</v>
      </c>
      <c r="E12" s="26">
        <f>入力!$B$14</f>
        <v>25000000</v>
      </c>
      <c r="F12" s="26">
        <f>入力!$B$10</f>
        <v>1000000</v>
      </c>
      <c r="G12" s="27" t="str">
        <f>IF(OR(C12="",D12=""),"",IF(YEAR(C12)=YEAR(D12),"同年受取",IF(C12&lt;D12,入力!$B$6&amp;" → 会社退職金","会社退職金 → "&amp;入力!$B$6)))</f>
        <v>会社退職金 → DC</v>
      </c>
      <c r="H12" s="27">
        <f>IF(
  OR(G12="同年受取",G12=""),
  "",
  IF(
    入力!$B$6="DB",
    入力!$B$15,
    IF(
      G12="DC → 会社退職金",
      入力!$B$15,
      入力!$B$16
    )
  )
)</f>
        <v>19</v>
      </c>
      <c r="I12" s="27" t="str">
        <f t="shared" si="0"/>
        <v>対象</v>
      </c>
      <c r="J12" s="26">
        <f t="shared" si="1"/>
        <v>1000000</v>
      </c>
      <c r="K12" s="26">
        <f>IF(G12="同年受取","",
 IF(ISNUMBER(SEARCH(" → 会社退職金",G12)),
   _xlfn.LET(
     _xlpm.DC開始,入力!$B$11,
     _xlpm.DC終了,B12,
     _xlpm.年数,IF(DATEDIF(_xlpm.DC開始,_xlpm.DC終了+1,"M")=0,1,CEILING(DATEDIF(_xlpm.DC開始,_xlpm.DC終了+1,"M")/12,1)),
     IF(_xlpm.年数&lt;=20,MAX(400000*_xlpm.年数,800000),8000000+700000*(_xlpm.年数-20))
   ),
 IF(ISNUMBER(SEARCH("会社退職金 → ",G12)),
   _xlfn.LET(
     _xlpm.会社控除額,入力!$B$21,
     _xlpm.会社控除額
   ),
 "")))</f>
        <v>22000000</v>
      </c>
      <c r="L12" s="28" t="str">
        <f t="shared" si="2"/>
        <v>該当</v>
      </c>
      <c r="M12" s="29">
        <f>_xlfn.LET(
 _xlpm.前判定,L12,
 _xlpm.前退,J12,
 _xlpm.前控,K12,
 _xlpm.会勤年,入力!$B$20,
 IF(G12="同年受取","",
   IF(OR(_xlpm.前退="",_xlpm.前控=""),"",
     IF(_xlpm.前判定="該当",
       ROUNDDOWN(IF(_xlpm.前退&lt;=8000000,_xlpm.前退/400000,(_xlpm.前退-8000000)/700000+20),0),
       IF(ISNUMBER(SEARCH(" → 会社退職金",G12)),
         _xlfn.LET(
           _xlpm.DC開始,入力!$B$11,
           _xlpm.DC終了,B12,
           DATEDIF(_xlpm.DC開始,_xlpm.DC終了+1,"Y")
           +IF(DATEDIF(_xlpm.DC開始,_xlpm.DC終了+1,"YD")&gt;0,1,0)
         ),
         IF(ISNUMBER(SEARCH("会社退職金 → ",G12)),
           _xlpm.会勤年,
           ""
         )
       )
     )
   )
 )
)</f>
        <v>2</v>
      </c>
      <c r="N12" s="30">
        <f>IF(G12="同年受取","",IF(I12&lt;&gt;"対象","",MAX(IF(ISNUMBER(SEARCH(" → 会社退職金",G12)),入力!$B$11,入力!$B$7),IF(ISNUMBER(SEARCH(" → 会社退職金",G12)),入力!$B$7,入力!$B$11))))</f>
        <v>36982</v>
      </c>
      <c r="O12" s="30">
        <f>_xlfn.LET(
  _xlpm.受取順,G12,
  _xlpm.対象,I12,
  _xlpm.前退,J12,
  _xlpm.前控,K12,
  _xlpm.前換算年,M12,
  _xlpm.会社開始,入力!$B$7,
  _xlpm.会社終了,入力!$B$8,
  _xlpm.DC開始,入力!$B$11,
  _xlpm.DC終了,B12,
  _xlpm.重複終了上限,IF(
    ISNUMBER(SEARCH(" → 会社退職金",_xlpm.受取順)),
    _xlpm.DC終了,
    _xlpm.会社終了
  ),
  _xlpm.換算期間終了,IF(
    _xlpm.前退&lt;_xlpm.前控,
    EDATE(
      IF(
        ISNUMBER(SEARCH(" → 会社退職金",_xlpm.受取順)),
        _xlpm.DC開始,
        _xlpm.会社開始
      ),
      _xlpm.前換算年*12
    )-1,
    _xlpm.重複終了上限
  ),
  IF(
    _xlpm.受取順="同年受取",
    "",
    IF(
      _xlpm.対象&lt;&gt;"対象",
      "",
      MIN(
        _xlpm.重複終了上限,
        _xlpm.換算期間終了
      )
    )
  )
)</f>
        <v>34059</v>
      </c>
      <c r="P12" s="29">
        <f t="shared" si="3"/>
        <v>0</v>
      </c>
      <c r="Q12" s="28">
        <f>IF(G12="同年受取","",
_xlfn.LET(
_xlpm.受取順,G12,
_xlpm.実重複年,P12,
_xlpm.会社本来控除,入力!$B$21,
_xlpm.重複控除,IF(
_xlpm.実重複年&lt;=20,
MAX(800000,400000*_xlpm.実重複年),
8000000+700000*(_xlpm.実重複年-20)
),
IF(
ISNUMBER(SEARCH(" → 会社退職金",_xlpm.受取順)),
IF(
I12="対象",
MAX(0,_xlpm.会社本来控除-_xlpm.重複控除),
_xlpm.会社本来控除
),
_xlpm.会社本来控除
)
))</f>
        <v>22000000</v>
      </c>
      <c r="R12" s="28">
        <f>IF(G12="同年受取","",
 _xlfn.LET(
  _xlpm.受取順,G12,
  _xlpm.DC開始,入力!$B$11,
  _xlpm.DC終了,B12,
  _xlpm.実重複年,P12,
  _xlpm.DC年数,IF(
   DATEDIF(_xlpm.DC開始,_xlpm.DC終了+1,"M")=0,
   1,
   CEILING(DATEDIF(_xlpm.DC開始,_xlpm.DC終了+1,"M")/12,1)
  ),
  _xlpm.DC本来控除,IF(
   _xlpm.DC年数&lt;=20,
   400000*_xlpm.DC年数,
   8000000+700000*(_xlpm.DC年数-20)
  ),
  _xlpm.重複控除,IF(
   _xlpm.実重複年=0,
   0,
   IF(
    _xlpm.実重複年&lt;=20,
    400000*_xlpm.実重複年,
    8000000+700000*(_xlpm.実重複年-20)
   )
  ),
  IF(
   _xlpm.受取順="会社退職金 → DC",
   IF(
    I12="対象",
    MAX(0,_xlpm.DC本来控除-_xlpm.重複控除),
    _xlpm.DC本来控除
   ),
   _xlpm.DC本来控除
  )
 )
)</f>
        <v>20600000</v>
      </c>
      <c r="S12" s="28">
        <f t="shared" si="4"/>
        <v>0</v>
      </c>
      <c r="T12" s="28">
        <f t="shared" si="5"/>
        <v>2200000</v>
      </c>
      <c r="U12" s="31">
        <f>IF(OR(G12="同年受取",S12=""),"",VLOOKUP(S12,税率表!$A$2:$C$8,2,TRUE))</f>
        <v>0.05</v>
      </c>
      <c r="V12" s="28">
        <f>IF(U12="","",VLOOKUP(S12,税率表!$A$2:$C$8,3,TRUE))</f>
        <v>0</v>
      </c>
      <c r="W12" s="28">
        <f t="shared" si="6"/>
        <v>0</v>
      </c>
      <c r="X12" s="31">
        <f>IF(OR(G12="同年受取",T12=""),"",VLOOKUP(T12,税率表!$A$2:$C$8,2,TRUE))</f>
        <v>0.1</v>
      </c>
      <c r="Y12" s="28">
        <f>IF(X12="","",VLOOKUP(T12,税率表!$A$2:$C$8,3,TRUE))</f>
        <v>97500</v>
      </c>
      <c r="Z12" s="28">
        <f t="shared" si="7"/>
        <v>125072</v>
      </c>
      <c r="AA12" s="28">
        <f t="shared" si="8"/>
        <v>0</v>
      </c>
      <c r="AB12" s="28">
        <f t="shared" si="9"/>
        <v>220000</v>
      </c>
      <c r="AC12" s="28">
        <f t="shared" si="10"/>
        <v>345072</v>
      </c>
      <c r="AD12" s="28">
        <f t="shared" si="11"/>
        <v>25654928</v>
      </c>
      <c r="AE12" s="32" t="str">
        <f t="shared" si="12"/>
        <v>No.2732：確認期間→前の金額/控除→換算年数→重複年度→後の控除調整→課税退職所得→税額</v>
      </c>
      <c r="AF12" s="32">
        <f t="shared" si="13"/>
        <v>2</v>
      </c>
      <c r="AG12" s="32">
        <f>IF(OR(J12="",K12="",G12="同年受取"),"",IF(J12&lt;K12,AF12,IF(G12="DC → 会社退職金",入力!$B$22,入力!$B$20)))</f>
        <v>2</v>
      </c>
      <c r="AH12" s="33" t="str">
        <f>IF(G12&lt;&gt;"同年受取","",_xlfn.LET(
_xlpm.A開始,入力!$B$7,
_xlpm.A終了,入力!$B$8,
_xlpm.B開始,入力!$B$11,
_xlpm.B終了,B12,
_xlpm.A日数,_xlpm.A終了-_xlpm.A開始+1,
_xlpm.B日数,_xlpm.B終了-_xlpm.B開始+1,
IF(
OR(_xlpm.A終了&lt;_xlpm.B開始,_xlpm.B終了&lt;_xlpm.A開始),
IF(_xlpm.A日数&gt;=_xlpm.B日数,
DATEDIF(_xlpm.A開始,_xlpm.A終了+1,"Y")+IF(DATEDIF(_xlpm.A開始,_xlpm.A終了+1,"YD")&gt;0,1,0),
DATEDIF(_xlpm.B開始,_xlpm.B終了+1,"Y")+IF(DATEDIF(_xlpm.B開始,_xlpm.B終了+1,"YD")&gt;0,1,0)
),
DATEDIF(MIN(_xlpm.A開始,_xlpm.B開始),MAX(_xlpm.A終了,_xlpm.B終了)+1,"Y")
+IF(DATEDIF(MIN(_xlpm.A開始,_xlpm.B開始),MAX(_xlpm.A終了,_xlpm.B終了)+1,"YD")&gt;0,1,0)
)
))</f>
        <v/>
      </c>
      <c r="AI12" s="34" t="str">
        <f t="shared" si="14"/>
        <v/>
      </c>
      <c r="AJ12" s="34" t="str">
        <f t="shared" si="15"/>
        <v/>
      </c>
      <c r="AK12" s="35" t="str">
        <f t="shared" si="16"/>
        <v/>
      </c>
      <c r="AL12" s="34" t="str">
        <f t="shared" si="17"/>
        <v/>
      </c>
      <c r="AM12" s="34" t="str">
        <f t="shared" si="18"/>
        <v/>
      </c>
      <c r="AN12" s="34" t="str">
        <f t="shared" si="19"/>
        <v/>
      </c>
      <c r="AO12" s="34" t="str">
        <f t="shared" si="20"/>
        <v/>
      </c>
      <c r="AP12" s="34" t="str">
        <f t="shared" si="21"/>
        <v/>
      </c>
      <c r="AQ12" s="34">
        <f t="shared" si="22"/>
        <v>25654928</v>
      </c>
    </row>
    <row r="13" spans="1:43" ht="18.75" customHeight="1" x14ac:dyDescent="0.4">
      <c r="A13" s="24">
        <v>10</v>
      </c>
      <c r="B13" s="5">
        <v>50951</v>
      </c>
      <c r="C13" s="5">
        <v>50951</v>
      </c>
      <c r="D13" s="25">
        <f>入力!$B$9</f>
        <v>47634</v>
      </c>
      <c r="E13" s="26">
        <f>入力!$B$14</f>
        <v>25000000</v>
      </c>
      <c r="F13" s="26">
        <f>入力!$B$10</f>
        <v>1000000</v>
      </c>
      <c r="G13" s="27" t="str">
        <f>IF(OR(C13="",D13=""),"",IF(YEAR(C13)=YEAR(D13),"同年受取",IF(C13&lt;D13,入力!$B$6&amp;" → 会社退職金","会社退職金 → "&amp;入力!$B$6)))</f>
        <v>会社退職金 → DC</v>
      </c>
      <c r="H13" s="27">
        <f>IF(
  OR(G13="同年受取",G13=""),
  "",
  IF(
    入力!$B$6="DB",
    入力!$B$15,
    IF(
      G13="DC → 会社退職金",
      入力!$B$15,
      入力!$B$16
    )
  )
)</f>
        <v>19</v>
      </c>
      <c r="I13" s="27" t="str">
        <f t="shared" si="0"/>
        <v>対象</v>
      </c>
      <c r="J13" s="26">
        <f t="shared" si="1"/>
        <v>1000000</v>
      </c>
      <c r="K13" s="26">
        <f>IF(G13="同年受取","",
 IF(ISNUMBER(SEARCH(" → 会社退職金",G13)),
   _xlfn.LET(
     _xlpm.DC開始,入力!$B$11,
     _xlpm.DC終了,B13,
     _xlpm.年数,IF(DATEDIF(_xlpm.DC開始,_xlpm.DC終了+1,"M")=0,1,CEILING(DATEDIF(_xlpm.DC開始,_xlpm.DC終了+1,"M")/12,1)),
     IF(_xlpm.年数&lt;=20,MAX(400000*_xlpm.年数,800000),8000000+700000*(_xlpm.年数-20))
   ),
 IF(ISNUMBER(SEARCH("会社退職金 → ",G13)),
   _xlfn.LET(
     _xlpm.会社控除額,入力!$B$21,
     _xlpm.会社控除額
   ),
 "")))</f>
        <v>22000000</v>
      </c>
      <c r="L13" s="28" t="str">
        <f t="shared" si="2"/>
        <v>該当</v>
      </c>
      <c r="M13" s="29">
        <f>_xlfn.LET(
 _xlpm.前判定,L13,
 _xlpm.前退,J13,
 _xlpm.前控,K13,
 _xlpm.会勤年,入力!$B$20,
 IF(G13="同年受取","",
   IF(OR(_xlpm.前退="",_xlpm.前控=""),"",
     IF(_xlpm.前判定="該当",
       ROUNDDOWN(IF(_xlpm.前退&lt;=8000000,_xlpm.前退/400000,(_xlpm.前退-8000000)/700000+20),0),
       IF(ISNUMBER(SEARCH(" → 会社退職金",G13)),
         _xlfn.LET(
           _xlpm.DC開始,入力!$B$11,
           _xlpm.DC終了,B13,
           DATEDIF(_xlpm.DC開始,_xlpm.DC終了+1,"Y")
           +IF(DATEDIF(_xlpm.DC開始,_xlpm.DC終了+1,"YD")&gt;0,1,0)
         ),
         IF(ISNUMBER(SEARCH("会社退職金 → ",G13)),
           _xlpm.会勤年,
           ""
         )
       )
     )
   )
 )
)</f>
        <v>2</v>
      </c>
      <c r="N13" s="30">
        <f>IF(G13="同年受取","",IF(I13&lt;&gt;"対象","",MAX(IF(ISNUMBER(SEARCH(" → 会社退職金",G13)),入力!$B$11,入力!$B$7),IF(ISNUMBER(SEARCH(" → 会社退職金",G13)),入力!$B$7,入力!$B$11))))</f>
        <v>36982</v>
      </c>
      <c r="O13" s="30">
        <f>_xlfn.LET(
  _xlpm.受取順,G13,
  _xlpm.対象,I13,
  _xlpm.前退,J13,
  _xlpm.前控,K13,
  _xlpm.前換算年,M13,
  _xlpm.会社開始,入力!$B$7,
  _xlpm.会社終了,入力!$B$8,
  _xlpm.DC開始,入力!$B$11,
  _xlpm.DC終了,B13,
  _xlpm.重複終了上限,IF(
    ISNUMBER(SEARCH(" → 会社退職金",_xlpm.受取順)),
    _xlpm.DC終了,
    _xlpm.会社終了
  ),
  _xlpm.換算期間終了,IF(
    _xlpm.前退&lt;_xlpm.前控,
    EDATE(
      IF(
        ISNUMBER(SEARCH(" → 会社退職金",_xlpm.受取順)),
        _xlpm.DC開始,
        _xlpm.会社開始
      ),
      _xlpm.前換算年*12
    )-1,
    _xlpm.重複終了上限
  ),
  IF(
    _xlpm.受取順="同年受取",
    "",
    IF(
      _xlpm.対象&lt;&gt;"対象",
      "",
      MIN(
        _xlpm.重複終了上限,
        _xlpm.換算期間終了
      )
    )
  )
)</f>
        <v>34059</v>
      </c>
      <c r="P13" s="29">
        <f t="shared" si="3"/>
        <v>0</v>
      </c>
      <c r="Q13" s="28">
        <f>IF(G13="同年受取","",
_xlfn.LET(
_xlpm.受取順,G13,
_xlpm.実重複年,P13,
_xlpm.会社本来控除,入力!$B$21,
_xlpm.重複控除,IF(
_xlpm.実重複年&lt;=20,
MAX(800000,400000*_xlpm.実重複年),
8000000+700000*(_xlpm.実重複年-20)
),
IF(
ISNUMBER(SEARCH(" → 会社退職金",_xlpm.受取順)),
IF(
I13="対象",
MAX(0,_xlpm.会社本来控除-_xlpm.重複控除),
_xlpm.会社本来控除
),
_xlpm.会社本来控除
)
))</f>
        <v>22000000</v>
      </c>
      <c r="R13" s="28">
        <f>IF(G13="同年受取","",
 _xlfn.LET(
  _xlpm.受取順,G13,
  _xlpm.DC開始,入力!$B$11,
  _xlpm.DC終了,B13,
  _xlpm.実重複年,P13,
  _xlpm.DC年数,IF(
   DATEDIF(_xlpm.DC開始,_xlpm.DC終了+1,"M")=0,
   1,
   CEILING(DATEDIF(_xlpm.DC開始,_xlpm.DC終了+1,"M")/12,1)
  ),
  _xlpm.DC本来控除,IF(
   _xlpm.DC年数&lt;=20,
   400000*_xlpm.DC年数,
   8000000+700000*(_xlpm.DC年数-20)
  ),
  _xlpm.重複控除,IF(
   _xlpm.実重複年=0,
   0,
   IF(
    _xlpm.実重複年&lt;=20,
    400000*_xlpm.実重複年,
    8000000+700000*(_xlpm.実重複年-20)
   )
  ),
  IF(
   _xlpm.受取順="会社退職金 → DC",
   IF(
    I13="対象",
    MAX(0,_xlpm.DC本来控除-_xlpm.重複控除),
    _xlpm.DC本来控除
   ),
   _xlpm.DC本来控除
  )
 )
)</f>
        <v>21300000</v>
      </c>
      <c r="S13" s="28">
        <f t="shared" si="4"/>
        <v>0</v>
      </c>
      <c r="T13" s="28">
        <f t="shared" si="5"/>
        <v>1850000</v>
      </c>
      <c r="U13" s="31">
        <f>IF(OR(G13="同年受取",S13=""),"",VLOOKUP(S13,税率表!$A$2:$C$8,2,TRUE))</f>
        <v>0.05</v>
      </c>
      <c r="V13" s="28">
        <f>IF(U13="","",VLOOKUP(S13,税率表!$A$2:$C$8,3,TRUE))</f>
        <v>0</v>
      </c>
      <c r="W13" s="28">
        <f t="shared" si="6"/>
        <v>0</v>
      </c>
      <c r="X13" s="31">
        <f>IF(OR(G13="同年受取",T13=""),"",VLOOKUP(T13,税率表!$A$2:$C$8,2,TRUE))</f>
        <v>0.05</v>
      </c>
      <c r="Y13" s="28">
        <f>IF(X13="","",VLOOKUP(T13,税率表!$A$2:$C$8,3,TRUE))</f>
        <v>0</v>
      </c>
      <c r="Z13" s="28">
        <f t="shared" si="7"/>
        <v>94442</v>
      </c>
      <c r="AA13" s="28">
        <f t="shared" si="8"/>
        <v>0</v>
      </c>
      <c r="AB13" s="28">
        <f t="shared" si="9"/>
        <v>185000</v>
      </c>
      <c r="AC13" s="28">
        <f t="shared" si="10"/>
        <v>279442</v>
      </c>
      <c r="AD13" s="28">
        <f t="shared" si="11"/>
        <v>25720558</v>
      </c>
      <c r="AE13" s="32" t="str">
        <f t="shared" si="12"/>
        <v>No.2732：確認期間→前の金額/控除→換算年数→重複年度→後の控除調整→課税退職所得→税額</v>
      </c>
      <c r="AF13" s="32">
        <f t="shared" si="13"/>
        <v>2</v>
      </c>
      <c r="AG13" s="32">
        <f>IF(OR(J13="",K13="",G13="同年受取"),"",IF(J13&lt;K13,AF13,IF(G13="DC → 会社退職金",入力!$B$22,入力!$B$20)))</f>
        <v>2</v>
      </c>
      <c r="AH13" s="33" t="str">
        <f>IF(G13&lt;&gt;"同年受取","",_xlfn.LET(
_xlpm.A開始,入力!$B$7,
_xlpm.A終了,入力!$B$8,
_xlpm.B開始,入力!$B$11,
_xlpm.B終了,B13,
_xlpm.A日数,_xlpm.A終了-_xlpm.A開始+1,
_xlpm.B日数,_xlpm.B終了-_xlpm.B開始+1,
IF(
OR(_xlpm.A終了&lt;_xlpm.B開始,_xlpm.B終了&lt;_xlpm.A開始),
IF(_xlpm.A日数&gt;=_xlpm.B日数,
DATEDIF(_xlpm.A開始,_xlpm.A終了+1,"Y")+IF(DATEDIF(_xlpm.A開始,_xlpm.A終了+1,"YD")&gt;0,1,0),
DATEDIF(_xlpm.B開始,_xlpm.B終了+1,"Y")+IF(DATEDIF(_xlpm.B開始,_xlpm.B終了+1,"YD")&gt;0,1,0)
),
DATEDIF(MIN(_xlpm.A開始,_xlpm.B開始),MAX(_xlpm.A終了,_xlpm.B終了)+1,"Y")
+IF(DATEDIF(MIN(_xlpm.A開始,_xlpm.B開始),MAX(_xlpm.A終了,_xlpm.B終了)+1,"YD")&gt;0,1,0)
)
))</f>
        <v/>
      </c>
      <c r="AI13" s="34" t="str">
        <f t="shared" si="14"/>
        <v/>
      </c>
      <c r="AJ13" s="34" t="str">
        <f t="shared" si="15"/>
        <v/>
      </c>
      <c r="AK13" s="35" t="str">
        <f t="shared" si="16"/>
        <v/>
      </c>
      <c r="AL13" s="34" t="str">
        <f t="shared" si="17"/>
        <v/>
      </c>
      <c r="AM13" s="34" t="str">
        <f t="shared" si="18"/>
        <v/>
      </c>
      <c r="AN13" s="34" t="str">
        <f t="shared" si="19"/>
        <v/>
      </c>
      <c r="AO13" s="34" t="str">
        <f t="shared" si="20"/>
        <v/>
      </c>
      <c r="AP13" s="34" t="str">
        <f t="shared" si="21"/>
        <v/>
      </c>
      <c r="AQ13" s="34">
        <f t="shared" si="22"/>
        <v>25720558</v>
      </c>
    </row>
    <row r="14" spans="1:43" x14ac:dyDescent="0.4">
      <c r="AJ14" s="11"/>
    </row>
    <row r="15" spans="1:43" ht="19.5" x14ac:dyDescent="0.4">
      <c r="A15" s="36" t="s">
        <v>115</v>
      </c>
      <c r="O15" s="37"/>
    </row>
    <row r="16" spans="1:43" ht="18.75" customHeight="1" x14ac:dyDescent="0.4">
      <c r="A16" s="38" t="s">
        <v>116</v>
      </c>
      <c r="B16" s="38"/>
      <c r="C16" s="38"/>
      <c r="D16" s="38"/>
      <c r="E16" s="39" t="s">
        <v>117</v>
      </c>
      <c r="F16" s="40"/>
      <c r="G16" s="40"/>
      <c r="H16" s="40"/>
      <c r="I16" s="40"/>
      <c r="J16" s="40"/>
    </row>
    <row r="17" spans="1:10" x14ac:dyDescent="0.4">
      <c r="B17" s="40"/>
      <c r="C17" s="40"/>
      <c r="D17" s="40"/>
      <c r="E17" s="40"/>
      <c r="F17" s="40"/>
      <c r="G17" s="40"/>
      <c r="H17" s="40"/>
      <c r="I17" s="40"/>
      <c r="J17" s="40"/>
    </row>
    <row r="18" spans="1:10" x14ac:dyDescent="0.4">
      <c r="B18" s="40"/>
      <c r="C18" s="40"/>
      <c r="D18" s="40"/>
      <c r="E18" s="40"/>
      <c r="F18" s="40"/>
      <c r="G18" s="40"/>
      <c r="H18" s="40"/>
      <c r="I18" s="40"/>
      <c r="J18" s="40"/>
    </row>
    <row r="19" spans="1:10" x14ac:dyDescent="0.4">
      <c r="A19" s="41" t="s">
        <v>118</v>
      </c>
      <c r="C19" s="39" t="s">
        <v>119</v>
      </c>
    </row>
    <row r="20" spans="1:10" x14ac:dyDescent="0.4">
      <c r="A20" s="41" t="s">
        <v>194</v>
      </c>
      <c r="C20" s="39" t="s">
        <v>192</v>
      </c>
    </row>
    <row r="21" spans="1:10" x14ac:dyDescent="0.4">
      <c r="A21" s="41"/>
      <c r="C21" s="39" t="s">
        <v>193</v>
      </c>
    </row>
    <row r="22" spans="1:10" x14ac:dyDescent="0.4">
      <c r="A22" s="41"/>
      <c r="C22" s="39" t="s">
        <v>195</v>
      </c>
    </row>
    <row r="23" spans="1:10" x14ac:dyDescent="0.4">
      <c r="A23" s="41" t="s">
        <v>120</v>
      </c>
      <c r="C23" s="39" t="s">
        <v>121</v>
      </c>
    </row>
    <row r="24" spans="1:10" x14ac:dyDescent="0.4">
      <c r="A24" s="41" t="s">
        <v>122</v>
      </c>
      <c r="C24" s="39" t="s">
        <v>123</v>
      </c>
    </row>
    <row r="25" spans="1:10" ht="19.5" x14ac:dyDescent="0.4">
      <c r="A25" s="41" t="s">
        <v>124</v>
      </c>
      <c r="B25" s="42" t="s">
        <v>125</v>
      </c>
    </row>
  </sheetData>
  <sheetProtection algorithmName="SHA-512" hashValue="zyqE/1b6GfRmEB1h+XpUqOyNjFVGqw7dbe2Fu2wnPV6dzq89sznv0Rk4DLpmtOebi1nQA++Kw1ipoFJitHHnxg==" saltValue="CMXh4bEllpPSsubu6DKZTg==" spinCount="100000" sheet="1" objects="1" scenarios="1"/>
  <mergeCells count="1">
    <mergeCell ref="A1:J1"/>
  </mergeCells>
  <phoneticPr fontId="1"/>
  <dataValidations count="1">
    <dataValidation type="date" allowBlank="1" showInputMessage="1" showErrorMessage="1" sqref="B4:C13" xr:uid="{5475A85F-6272-4C07-AB27-853C2D0B5070}">
      <formula1>1</formula1>
      <formula2>2958465</formula2>
    </dataValidation>
  </dataValidations>
  <pageMargins left="0.75" right="0.75" top="1" bottom="1" header="0.5" footer="0.5"/>
  <pageSetup paperSize="9" orientation="portrait" horizontalDpi="4294967293" verticalDpi="0"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Y41"/>
  <sheetViews>
    <sheetView showGridLines="0" view="pageBreakPreview" zoomScale="130" zoomScaleNormal="100" zoomScaleSheetLayoutView="130" workbookViewId="0">
      <selection activeCell="B4" sqref="B4"/>
    </sheetView>
  </sheetViews>
  <sheetFormatPr defaultRowHeight="18.75" x14ac:dyDescent="0.4"/>
  <cols>
    <col min="1" max="1" width="18" style="10" customWidth="1"/>
    <col min="2" max="2" width="12.875" style="10" bestFit="1" customWidth="1"/>
    <col min="3" max="3" width="9" style="11"/>
    <col min="4" max="4" width="15.125" style="10" bestFit="1" customWidth="1"/>
    <col min="5" max="6" width="13" style="10" bestFit="1" customWidth="1"/>
    <col min="7" max="13" width="9" style="11"/>
    <col min="14" max="14" width="15.125" style="10" customWidth="1"/>
    <col min="15" max="15" width="34.375" style="10" customWidth="1"/>
    <col min="16" max="16" width="9" style="11"/>
    <col min="17" max="17" width="14.875" style="10" bestFit="1" customWidth="1"/>
    <col min="18" max="18" width="34.125" style="10" bestFit="1" customWidth="1"/>
    <col min="19" max="19" width="6" style="10" bestFit="1" customWidth="1"/>
    <col min="20" max="20" width="10.5" style="10" bestFit="1" customWidth="1"/>
    <col min="21" max="21" width="9" style="11"/>
    <col min="22" max="22" width="73.875" style="10" customWidth="1"/>
    <col min="23" max="16384" width="9" style="11"/>
  </cols>
  <sheetData>
    <row r="1" spans="1:25" x14ac:dyDescent="0.4">
      <c r="A1" s="10" t="s">
        <v>207</v>
      </c>
    </row>
    <row r="3" spans="1:25" x14ac:dyDescent="0.4">
      <c r="A3" s="11" t="s">
        <v>126</v>
      </c>
    </row>
    <row r="4" spans="1:25" x14ac:dyDescent="0.4">
      <c r="A4" s="43" t="s">
        <v>127</v>
      </c>
      <c r="B4" s="1">
        <v>25689</v>
      </c>
    </row>
    <row r="5" spans="1:25" x14ac:dyDescent="0.4">
      <c r="A5" s="43" t="s">
        <v>128</v>
      </c>
      <c r="B5" s="1">
        <v>33329</v>
      </c>
    </row>
    <row r="6" spans="1:25" x14ac:dyDescent="0.4">
      <c r="A6" s="43" t="s">
        <v>129</v>
      </c>
      <c r="B6" s="1">
        <v>47634</v>
      </c>
      <c r="D6" s="11" t="s">
        <v>130</v>
      </c>
      <c r="E6" s="11" t="str">
        <f>DATEDIF(B4, B6, "Y") &amp; "歳" &amp; DATEDIF(B4, B6, "YM") &amp; "ヶ月"</f>
        <v>60歳0ヶ月</v>
      </c>
    </row>
    <row r="7" spans="1:25" x14ac:dyDescent="0.4">
      <c r="A7" s="43" t="s">
        <v>131</v>
      </c>
      <c r="B7" s="44">
        <f>IF(DATEDIF(B5,B6+1,"M")=0, 1, CEILING(DATEDIF(B5,B6+1,"M")/12, 1))</f>
        <v>40</v>
      </c>
    </row>
    <row r="8" spans="1:25" x14ac:dyDescent="0.4">
      <c r="A8" s="43" t="s">
        <v>120</v>
      </c>
      <c r="B8" s="45">
        <f>IF(B7&lt;=20, MAX(400000*B7, 800000), 8000000+700000*(B7-20))</f>
        <v>22000000</v>
      </c>
      <c r="C8" s="11" t="s">
        <v>132</v>
      </c>
    </row>
    <row r="9" spans="1:25" x14ac:dyDescent="0.4">
      <c r="A9" s="43" t="s">
        <v>133</v>
      </c>
      <c r="B9" s="4">
        <v>22010000</v>
      </c>
    </row>
    <row r="10" spans="1:25" x14ac:dyDescent="0.4">
      <c r="A10" s="43" t="s">
        <v>122</v>
      </c>
      <c r="B10" s="45">
        <f>MAX(0, FLOOR((B9-B8)/2, 1000))</f>
        <v>5000</v>
      </c>
      <c r="C10" s="11" t="s">
        <v>134</v>
      </c>
    </row>
    <row r="11" spans="1:25" x14ac:dyDescent="0.4">
      <c r="A11" s="43" t="s">
        <v>135</v>
      </c>
      <c r="B11" s="46">
        <f>VLOOKUP(B10,tabletax,3,TRUE)</f>
        <v>0.05</v>
      </c>
      <c r="C11" s="11" t="s">
        <v>136</v>
      </c>
      <c r="R11" s="47"/>
      <c r="S11" s="47"/>
      <c r="T11" s="47"/>
    </row>
    <row r="12" spans="1:25" x14ac:dyDescent="0.4">
      <c r="A12" s="43" t="s">
        <v>137</v>
      </c>
      <c r="B12" s="45">
        <f>VLOOKUP(B10,tabletax,4,TRUE)</f>
        <v>0</v>
      </c>
      <c r="C12" s="11" t="s">
        <v>136</v>
      </c>
      <c r="N12" s="47" t="s">
        <v>139</v>
      </c>
      <c r="O12" s="47"/>
      <c r="P12" s="47"/>
      <c r="Q12" s="47"/>
      <c r="R12" s="47" t="s">
        <v>138</v>
      </c>
      <c r="S12" s="47"/>
      <c r="T12" s="47"/>
      <c r="V12" s="47" t="s">
        <v>140</v>
      </c>
      <c r="W12" s="47"/>
      <c r="X12" s="47"/>
      <c r="Y12" s="47"/>
    </row>
    <row r="13" spans="1:25" x14ac:dyDescent="0.4">
      <c r="A13" s="43" t="s">
        <v>141</v>
      </c>
      <c r="B13" s="45">
        <f>FLOOR((B10*B11-B12)*1.021, 1)</f>
        <v>255</v>
      </c>
      <c r="C13" s="11" t="s">
        <v>191</v>
      </c>
      <c r="N13" s="47" t="s">
        <v>146</v>
      </c>
      <c r="O13" s="47"/>
      <c r="P13" s="47"/>
      <c r="Q13" s="48" t="s">
        <v>142</v>
      </c>
      <c r="R13" s="48" t="s">
        <v>143</v>
      </c>
      <c r="S13" s="48" t="s">
        <v>144</v>
      </c>
      <c r="T13" s="48" t="s">
        <v>145</v>
      </c>
      <c r="V13" s="47" t="s">
        <v>147</v>
      </c>
      <c r="W13" s="47"/>
      <c r="X13" s="47"/>
      <c r="Y13" s="47"/>
    </row>
    <row r="14" spans="1:25" x14ac:dyDescent="0.4">
      <c r="A14" s="43" t="s">
        <v>148</v>
      </c>
      <c r="B14" s="45">
        <f>FLOOR(B10 * 0.1, 100)</f>
        <v>500</v>
      </c>
      <c r="C14" s="11" t="s">
        <v>149</v>
      </c>
      <c r="N14" s="47" t="s">
        <v>151</v>
      </c>
      <c r="O14" s="47"/>
      <c r="P14" s="47"/>
      <c r="Q14" s="48">
        <v>0</v>
      </c>
      <c r="R14" s="48" t="s">
        <v>150</v>
      </c>
      <c r="S14" s="49">
        <v>0.05</v>
      </c>
      <c r="T14" s="48">
        <v>0</v>
      </c>
      <c r="V14" s="47" t="s">
        <v>152</v>
      </c>
      <c r="W14" s="47"/>
      <c r="X14" s="47"/>
      <c r="Y14" s="47"/>
    </row>
    <row r="15" spans="1:25" x14ac:dyDescent="0.4">
      <c r="A15" s="43" t="s">
        <v>106</v>
      </c>
      <c r="B15" s="50">
        <f>B13+B14</f>
        <v>755</v>
      </c>
      <c r="N15" s="48" t="s">
        <v>155</v>
      </c>
      <c r="O15" s="48" t="s">
        <v>120</v>
      </c>
      <c r="P15" s="47"/>
      <c r="Q15" s="51">
        <v>1950000</v>
      </c>
      <c r="R15" s="51" t="s">
        <v>154</v>
      </c>
      <c r="S15" s="49">
        <v>0.1</v>
      </c>
      <c r="T15" s="51">
        <v>97500</v>
      </c>
      <c r="V15" s="47" t="s">
        <v>156</v>
      </c>
    </row>
    <row r="16" spans="1:25" x14ac:dyDescent="0.4">
      <c r="A16" s="43" t="s">
        <v>153</v>
      </c>
      <c r="B16" s="45">
        <f>B9-B15</f>
        <v>22009245</v>
      </c>
      <c r="N16" s="52" t="s">
        <v>158</v>
      </c>
      <c r="O16" s="52" t="s">
        <v>159</v>
      </c>
      <c r="P16" s="47"/>
      <c r="Q16" s="51">
        <v>3300000</v>
      </c>
      <c r="R16" s="51" t="s">
        <v>157</v>
      </c>
      <c r="S16" s="49">
        <v>0.2</v>
      </c>
      <c r="T16" s="51">
        <v>427500</v>
      </c>
      <c r="V16" s="47"/>
      <c r="W16" s="47"/>
      <c r="X16" s="47"/>
      <c r="Y16" s="47"/>
    </row>
    <row r="17" spans="2:25" x14ac:dyDescent="0.4">
      <c r="B17" s="34"/>
      <c r="N17" s="53"/>
      <c r="O17" s="54" t="s">
        <v>161</v>
      </c>
      <c r="P17" s="47"/>
      <c r="Q17" s="51">
        <v>6950000</v>
      </c>
      <c r="R17" s="51" t="s">
        <v>160</v>
      </c>
      <c r="S17" s="49">
        <v>0.23</v>
      </c>
      <c r="T17" s="51">
        <v>636000</v>
      </c>
      <c r="V17" s="47"/>
      <c r="W17" s="47"/>
      <c r="X17" s="47"/>
      <c r="Y17" s="47"/>
    </row>
    <row r="18" spans="2:25" x14ac:dyDescent="0.4">
      <c r="N18" s="48" t="s">
        <v>163</v>
      </c>
      <c r="O18" s="48" t="s">
        <v>164</v>
      </c>
      <c r="P18" s="47"/>
      <c r="Q18" s="51">
        <v>9000000</v>
      </c>
      <c r="R18" s="51" t="s">
        <v>162</v>
      </c>
      <c r="S18" s="49">
        <v>0.33</v>
      </c>
      <c r="T18" s="51">
        <v>1536000</v>
      </c>
      <c r="V18" s="47"/>
      <c r="W18" s="47"/>
      <c r="X18" s="47"/>
      <c r="Y18" s="47"/>
    </row>
    <row r="19" spans="2:25" x14ac:dyDescent="0.4">
      <c r="N19" s="47"/>
      <c r="O19" s="47"/>
      <c r="P19" s="47"/>
      <c r="Q19" s="51">
        <v>18000000</v>
      </c>
      <c r="R19" s="51" t="s">
        <v>165</v>
      </c>
      <c r="S19" s="49">
        <v>0.4</v>
      </c>
      <c r="T19" s="51">
        <v>2796000</v>
      </c>
      <c r="V19" s="47"/>
      <c r="W19" s="47"/>
      <c r="X19" s="47"/>
      <c r="Y19" s="47"/>
    </row>
    <row r="20" spans="2:25" x14ac:dyDescent="0.4">
      <c r="N20" s="47"/>
      <c r="O20" s="47"/>
      <c r="P20" s="47"/>
      <c r="Q20" s="51">
        <v>40000000</v>
      </c>
      <c r="R20" s="51" t="s">
        <v>166</v>
      </c>
      <c r="S20" s="49">
        <v>0.45</v>
      </c>
      <c r="T20" s="51">
        <v>4796000</v>
      </c>
      <c r="V20" s="47"/>
      <c r="W20" s="47"/>
      <c r="X20" s="47"/>
      <c r="Y20" s="47"/>
    </row>
    <row r="21" spans="2:25" x14ac:dyDescent="0.4">
      <c r="N21" s="47"/>
      <c r="O21" s="47"/>
      <c r="P21" s="47"/>
      <c r="V21" s="47"/>
      <c r="W21" s="47"/>
      <c r="X21" s="47"/>
      <c r="Y21" s="47"/>
    </row>
    <row r="22" spans="2:25" x14ac:dyDescent="0.4">
      <c r="W22" s="47"/>
      <c r="X22" s="47"/>
      <c r="Y22" s="47"/>
    </row>
    <row r="23" spans="2:25" x14ac:dyDescent="0.4">
      <c r="W23" s="47"/>
      <c r="X23" s="47"/>
      <c r="Y23" s="47"/>
    </row>
    <row r="33" spans="1:1" x14ac:dyDescent="0.4">
      <c r="A33" s="11" t="s">
        <v>167</v>
      </c>
    </row>
    <row r="34" spans="1:1" x14ac:dyDescent="0.4">
      <c r="A34" s="11" t="s">
        <v>168</v>
      </c>
    </row>
    <row r="35" spans="1:1" x14ac:dyDescent="0.4">
      <c r="A35" s="55" t="s">
        <v>169</v>
      </c>
    </row>
    <row r="36" spans="1:1" x14ac:dyDescent="0.4">
      <c r="A36" s="11" t="s">
        <v>170</v>
      </c>
    </row>
    <row r="37" spans="1:1" x14ac:dyDescent="0.4">
      <c r="A37" s="55" t="s">
        <v>171</v>
      </c>
    </row>
    <row r="38" spans="1:1" x14ac:dyDescent="0.4">
      <c r="A38" s="11" t="s">
        <v>172</v>
      </c>
    </row>
    <row r="39" spans="1:1" x14ac:dyDescent="0.4">
      <c r="A39" s="55" t="s">
        <v>173</v>
      </c>
    </row>
    <row r="40" spans="1:1" x14ac:dyDescent="0.4">
      <c r="A40" s="11" t="s">
        <v>174</v>
      </c>
    </row>
    <row r="41" spans="1:1" x14ac:dyDescent="0.4">
      <c r="A41" s="55" t="s">
        <v>175</v>
      </c>
    </row>
  </sheetData>
  <sheetProtection algorithmName="SHA-512" hashValue="5hKIQ7nCg2L2RmppsnNm5VCU7/08rgyYeaF0aNQCmW3pMT+5uZTJQgNCznmQsEj3wML1atP0JhXqEyp2dTo6ig==" saltValue="veS1TiyPMOpyY1m63NDP7A==" spinCount="100000" sheet="1" objects="1" scenarios="1"/>
  <phoneticPr fontId="1"/>
  <dataValidations count="1">
    <dataValidation type="date" allowBlank="1" showInputMessage="1" showErrorMessage="1" sqref="B4:B6" xr:uid="{A663A356-3AC7-470A-8A8B-25AB6FAEEA79}">
      <formula1>1</formula1>
      <formula2>2958465</formula2>
    </dataValidation>
  </dataValidations>
  <hyperlinks>
    <hyperlink ref="A34" r:id="rId1" xr:uid="{00000000-0004-0000-0400-000000000000}"/>
    <hyperlink ref="A36" r:id="rId2" xr:uid="{00000000-0004-0000-0400-000001000000}"/>
    <hyperlink ref="A38" r:id="rId3" xr:uid="{00000000-0004-0000-0400-000002000000}"/>
    <hyperlink ref="A40" r:id="rId4" xr:uid="{00000000-0004-0000-0400-000003000000}"/>
  </hyperlinks>
  <pageMargins left="0.7" right="0.7" top="0.75" bottom="0.75" header="0.3" footer="0.3"/>
  <pageSetup paperSize="9" scale="59" orientation="portrait" horizontalDpi="4294967293" verticalDpi="0" r:id="rId5"/>
  <drawing r:id="rId6"/>
  <legacyDrawing r:id="rId7"/>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2"/>
  <sheetViews>
    <sheetView showGridLines="0" workbookViewId="0">
      <selection sqref="A1:D1"/>
    </sheetView>
  </sheetViews>
  <sheetFormatPr defaultRowHeight="18.75" x14ac:dyDescent="0.4"/>
  <cols>
    <col min="1" max="1" width="38" style="2" customWidth="1"/>
    <col min="2" max="2" width="42" style="2" customWidth="1"/>
    <col min="3" max="6" width="20" style="2" customWidth="1"/>
  </cols>
  <sheetData>
    <row r="1" spans="1:6" ht="24" x14ac:dyDescent="0.5">
      <c r="A1" s="100" t="s">
        <v>176</v>
      </c>
      <c r="B1" s="101"/>
      <c r="C1" s="101"/>
      <c r="D1" s="101"/>
    </row>
    <row r="3" spans="1:6" x14ac:dyDescent="0.35">
      <c r="A3" s="3" t="s">
        <v>177</v>
      </c>
      <c r="B3" s="102" t="s">
        <v>178</v>
      </c>
      <c r="C3" s="101"/>
      <c r="D3" s="101"/>
      <c r="E3" s="101"/>
      <c r="F3" s="101"/>
    </row>
    <row r="4" spans="1:6" x14ac:dyDescent="0.4">
      <c r="B4" s="101"/>
      <c r="C4" s="101"/>
      <c r="D4" s="101"/>
      <c r="E4" s="101"/>
      <c r="F4" s="101"/>
    </row>
    <row r="5" spans="1:6" x14ac:dyDescent="0.4">
      <c r="B5" s="101"/>
      <c r="C5" s="101"/>
      <c r="D5" s="101"/>
      <c r="E5" s="101"/>
      <c r="F5" s="101"/>
    </row>
    <row r="6" spans="1:6" x14ac:dyDescent="0.4">
      <c r="A6" s="3" t="s">
        <v>179</v>
      </c>
      <c r="B6" s="102" t="s">
        <v>180</v>
      </c>
      <c r="C6" s="101"/>
      <c r="D6" s="101"/>
    </row>
    <row r="7" spans="1:6" x14ac:dyDescent="0.4">
      <c r="B7" s="101"/>
      <c r="C7" s="101"/>
      <c r="D7" s="101"/>
    </row>
    <row r="8" spans="1:6" x14ac:dyDescent="0.4">
      <c r="B8" s="101"/>
      <c r="C8" s="101"/>
      <c r="D8" s="101"/>
    </row>
    <row r="9" spans="1:6" x14ac:dyDescent="0.35">
      <c r="A9" s="3" t="s">
        <v>181</v>
      </c>
      <c r="B9" s="102" t="s">
        <v>182</v>
      </c>
      <c r="C9" s="101"/>
      <c r="D9" s="101"/>
      <c r="E9" s="101"/>
      <c r="F9" s="101"/>
    </row>
    <row r="10" spans="1:6" x14ac:dyDescent="0.4">
      <c r="B10" s="101"/>
      <c r="C10" s="101"/>
      <c r="D10" s="101"/>
      <c r="E10" s="101"/>
      <c r="F10" s="101"/>
    </row>
    <row r="11" spans="1:6" x14ac:dyDescent="0.4">
      <c r="B11" s="101"/>
      <c r="C11" s="101"/>
      <c r="D11" s="101"/>
      <c r="E11" s="101"/>
      <c r="F11" s="101"/>
    </row>
    <row r="12" spans="1:6" x14ac:dyDescent="0.35">
      <c r="A12" s="3" t="s">
        <v>183</v>
      </c>
      <c r="B12" s="101"/>
      <c r="C12" s="101"/>
      <c r="D12" s="101"/>
      <c r="E12" s="101"/>
      <c r="F12" s="101"/>
    </row>
    <row r="13" spans="1:6" x14ac:dyDescent="0.4">
      <c r="B13" s="101"/>
      <c r="C13" s="101"/>
      <c r="D13" s="101"/>
      <c r="E13" s="101"/>
      <c r="F13" s="101"/>
    </row>
    <row r="14" spans="1:6" x14ac:dyDescent="0.4">
      <c r="B14" s="101"/>
      <c r="C14" s="101"/>
      <c r="D14" s="101"/>
      <c r="E14" s="101"/>
      <c r="F14" s="101"/>
    </row>
    <row r="16" spans="1:6" x14ac:dyDescent="0.4">
      <c r="A16" s="3" t="s">
        <v>184</v>
      </c>
      <c r="B16" s="101"/>
      <c r="C16" s="101"/>
      <c r="D16" s="101"/>
    </row>
    <row r="17" spans="1:4" x14ac:dyDescent="0.4">
      <c r="A17" t="s">
        <v>185</v>
      </c>
      <c r="B17" s="103" t="s">
        <v>169</v>
      </c>
      <c r="C17" s="103"/>
      <c r="D17" s="103"/>
    </row>
    <row r="18" spans="1:4" x14ac:dyDescent="0.4">
      <c r="A18" t="s">
        <v>186</v>
      </c>
      <c r="B18" s="103" t="s">
        <v>187</v>
      </c>
      <c r="C18" s="103"/>
      <c r="D18" s="103"/>
    </row>
    <row r="19" spans="1:4" x14ac:dyDescent="0.4">
      <c r="A19" s="2" t="s">
        <v>201</v>
      </c>
    </row>
    <row r="20" spans="1:4" x14ac:dyDescent="0.4">
      <c r="A20"/>
      <c r="B20" s="9" t="s">
        <v>196</v>
      </c>
    </row>
    <row r="21" spans="1:4" x14ac:dyDescent="0.4">
      <c r="A21"/>
      <c r="B21"/>
    </row>
    <row r="22" spans="1:4" x14ac:dyDescent="0.4">
      <c r="A22"/>
      <c r="B22"/>
    </row>
  </sheetData>
  <sheetProtection algorithmName="SHA-512" hashValue="A39iUdugu2MZLBGN2Q2MxNJzykVDQMtq/K1afawvqHl1ohkK7HV/0RDbAPGKz88uNsEUv7lR+g7R1XCScCFSTw==" saltValue="4non3edkXMBQywDpZRkwqg==" spinCount="100000" sheet="1" objects="1" scenarios="1"/>
  <mergeCells count="8">
    <mergeCell ref="A1:D1"/>
    <mergeCell ref="B6:D8"/>
    <mergeCell ref="B12:F14"/>
    <mergeCell ref="B17:D17"/>
    <mergeCell ref="B18:D18"/>
    <mergeCell ref="B9:F11"/>
    <mergeCell ref="B3:F5"/>
    <mergeCell ref="B16:D16"/>
  </mergeCells>
  <phoneticPr fontId="1"/>
  <hyperlinks>
    <hyperlink ref="B17:D17" r:id="rId1" display="https://www.nta.go.jp/taxes/shiraberu/taxanswer/shotoku/1420.htm" xr:uid="{B979EF09-0229-4B99-95CA-4B28A0D96EC4}"/>
    <hyperlink ref="B18:D18" r:id="rId2" display="https://www.nta.go.jp/taxes/shiraberu/taxanswer/gensen/2732.htm" xr:uid="{99978AA4-5346-43EA-B5A0-669F65677C18}"/>
    <hyperlink ref="B20" r:id="rId3" xr:uid="{A36F9B6A-D43A-4804-8FD6-80FCE0D7AFC1}"/>
  </hyperlinks>
  <pageMargins left="0.75" right="0.75" top="1" bottom="1" header="0.5" footer="0.5"/>
  <pageSetup paperSize="9" orientation="portrait" horizontalDpi="4294967293" verticalDpi="0" r:id="rId4"/>
  <legacyDrawing r:id="rId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8"/>
  <sheetViews>
    <sheetView showGridLines="0" workbookViewId="0">
      <pane ySplit="3" topLeftCell="A4" activePane="bottomLeft" state="frozen"/>
      <selection pane="bottomLeft"/>
    </sheetView>
  </sheetViews>
  <sheetFormatPr defaultRowHeight="18.75" x14ac:dyDescent="0.4"/>
  <cols>
    <col min="1" max="1" width="13" style="2" customWidth="1"/>
    <col min="2" max="3" width="12" style="2" customWidth="1"/>
  </cols>
  <sheetData>
    <row r="1" spans="1:3" x14ac:dyDescent="0.35">
      <c r="A1" s="56" t="s">
        <v>188</v>
      </c>
      <c r="B1" s="57" t="s">
        <v>144</v>
      </c>
      <c r="C1" s="56" t="s">
        <v>145</v>
      </c>
    </row>
    <row r="2" spans="1:3" x14ac:dyDescent="0.4">
      <c r="A2" s="58">
        <v>0</v>
      </c>
      <c r="B2" s="59">
        <v>0.05</v>
      </c>
      <c r="C2" s="58">
        <v>0</v>
      </c>
    </row>
    <row r="3" spans="1:3" x14ac:dyDescent="0.4">
      <c r="A3" s="58">
        <v>1950000</v>
      </c>
      <c r="B3" s="59">
        <v>0.1</v>
      </c>
      <c r="C3" s="58">
        <v>97500</v>
      </c>
    </row>
    <row r="4" spans="1:3" x14ac:dyDescent="0.4">
      <c r="A4" s="58">
        <v>3300000</v>
      </c>
      <c r="B4" s="59">
        <v>0.2</v>
      </c>
      <c r="C4" s="58">
        <v>427500</v>
      </c>
    </row>
    <row r="5" spans="1:3" x14ac:dyDescent="0.4">
      <c r="A5" s="58">
        <v>6950000</v>
      </c>
      <c r="B5" s="59">
        <v>0.23</v>
      </c>
      <c r="C5" s="58">
        <v>636000</v>
      </c>
    </row>
    <row r="6" spans="1:3" x14ac:dyDescent="0.4">
      <c r="A6" s="58">
        <v>9000000</v>
      </c>
      <c r="B6" s="59">
        <v>0.33</v>
      </c>
      <c r="C6" s="58">
        <v>1536000</v>
      </c>
    </row>
    <row r="7" spans="1:3" x14ac:dyDescent="0.4">
      <c r="A7" s="58">
        <v>18000000</v>
      </c>
      <c r="B7" s="59">
        <v>0.4</v>
      </c>
      <c r="C7" s="58">
        <v>2796000</v>
      </c>
    </row>
    <row r="8" spans="1:3" x14ac:dyDescent="0.4">
      <c r="A8" s="58">
        <v>40000000</v>
      </c>
      <c r="B8" s="59">
        <v>0.45</v>
      </c>
      <c r="C8" s="58">
        <v>4796000</v>
      </c>
    </row>
  </sheetData>
  <sheetProtection algorithmName="SHA-512" hashValue="uX9+ACjRCe2JJ5YGbT+EB0ijQLzUlpL/xEV05KnOrdT2zhmqGoY+DwFItZYhpn3EZfxJC8/k/UedcxfpifeqAw==" saltValue="C9UdSViceFTFhRWW1BHd7g==" spinCount="100000" sheet="1" objects="1" scenarios="1"/>
  <phoneticPr fontId="1"/>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ワークシート</vt:lpstr>
      </vt:variant>
      <vt:variant>
        <vt:i4>7</vt:i4>
      </vt:variant>
      <vt:variant>
        <vt:lpstr>名前付き一覧</vt:lpstr>
      </vt:variant>
      <vt:variant>
        <vt:i4>3</vt:i4>
      </vt:variant>
    </vt:vector>
  </HeadingPairs>
  <TitlesOfParts>
    <vt:vector size="10" baseType="lpstr">
      <vt:lpstr>入力</vt:lpstr>
      <vt:lpstr>期間図</vt:lpstr>
      <vt:lpstr>重複調整計算</vt:lpstr>
      <vt:lpstr>受取時期比較</vt:lpstr>
      <vt:lpstr>会社退職金</vt:lpstr>
      <vt:lpstr>説明・参照情報</vt:lpstr>
      <vt:lpstr>税率表</vt:lpstr>
      <vt:lpstr>会社退職金!Print_Area</vt:lpstr>
      <vt:lpstr>期間図!Print_Area</vt:lpstr>
      <vt:lpstr>tabletax</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克彦 福田</dc:creator>
  <cp:lastModifiedBy>克彦 福田</cp:lastModifiedBy>
  <dcterms:created xsi:type="dcterms:W3CDTF">2026-09-23T13:49:33Z</dcterms:created>
  <dcterms:modified xsi:type="dcterms:W3CDTF">2026-10-13T15:16:47Z</dcterms:modified>
</cp:coreProperties>
</file>